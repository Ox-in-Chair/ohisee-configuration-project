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S&amp;QMS\1 Senior Management Commitment and Improvement\"/>
    </mc:Choice>
  </mc:AlternateContent>
  <xr:revisionPtr revIDLastSave="0" documentId="13_ncr:1_{4F61018E-E15F-4FD9-9BA0-9BC44E9FA9BA}" xr6:coauthVersionLast="47" xr6:coauthVersionMax="47" xr10:uidLastSave="{00000000-0000-0000-0000-000000000000}"/>
  <bookViews>
    <workbookView xWindow="-120" yWindow="-120" windowWidth="29040" windowHeight="15840" xr2:uid="{169F9BDD-F825-4C66-8730-7DB28E6E8FA0}"/>
  </bookViews>
  <sheets>
    <sheet name="Summary" sheetId="1" r:id="rId1"/>
    <sheet name="Liqui Box - Usage 2024" sheetId="4" r:id="rId2"/>
    <sheet name="Liqui Box - Usage 2023" sheetId="3" r:id="rId3"/>
    <sheet name="Liqui Box - Usage 2022" sheetId="2" r:id="rId4"/>
    <sheet name="MTech - Usage 2024" sheetId="5" r:id="rId5"/>
    <sheet name="MTech - Usage 2023" sheetId="6" r:id="rId6"/>
    <sheet name="MTech - Usage 202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4" i="1"/>
  <c r="E23" i="1"/>
  <c r="E22" i="1"/>
  <c r="F24" i="1"/>
  <c r="F23" i="1"/>
  <c r="F22" i="1"/>
  <c r="B16" i="1"/>
  <c r="F16" i="1" s="1"/>
  <c r="B1" i="7"/>
  <c r="B2" i="7"/>
  <c r="F17" i="1"/>
  <c r="F4" i="1"/>
  <c r="F10" i="1"/>
  <c r="B9" i="1"/>
  <c r="D9" i="1" s="1"/>
  <c r="B2" i="6"/>
  <c r="B1" i="6"/>
  <c r="B3" i="1"/>
  <c r="D3" i="1" s="1"/>
  <c r="B2" i="5"/>
  <c r="B1" i="5"/>
  <c r="B3" i="4"/>
  <c r="B3" i="5"/>
  <c r="B1" i="3"/>
  <c r="B1" i="4"/>
  <c r="B3" i="3"/>
  <c r="B15" i="1"/>
  <c r="B4" i="2"/>
  <c r="B3" i="2"/>
  <c r="B1" i="2"/>
  <c r="D4" i="1"/>
  <c r="D17" i="1"/>
  <c r="B25" i="1"/>
  <c r="D10" i="1"/>
  <c r="F3" i="1" l="1"/>
  <c r="D16" i="1"/>
  <c r="B18" i="1"/>
  <c r="B4" i="7"/>
  <c r="F9" i="1"/>
  <c r="B4" i="6"/>
  <c r="B4" i="5"/>
  <c r="B4" i="4"/>
  <c r="B2" i="1" s="1"/>
  <c r="B5" i="1" s="1"/>
  <c r="F15" i="1"/>
  <c r="B4" i="3"/>
  <c r="B8" i="1" s="1"/>
  <c r="F8" i="1" s="1"/>
  <c r="D15" i="1"/>
  <c r="F25" i="1"/>
  <c r="D2" i="1" l="1"/>
  <c r="D5" i="1" s="1"/>
  <c r="F2" i="1"/>
  <c r="F5" i="1" s="1"/>
  <c r="F18" i="1"/>
  <c r="D18" i="1"/>
  <c r="B11" i="1"/>
  <c r="B20" i="1" s="1"/>
  <c r="D8" i="1"/>
  <c r="F11" i="1" l="1"/>
  <c r="D11" i="1"/>
</calcChain>
</file>

<file path=xl/sharedStrings.xml><?xml version="1.0" encoding="utf-8"?>
<sst xmlns="http://schemas.openxmlformats.org/spreadsheetml/2006/main" count="3346" uniqueCount="1044">
  <si>
    <t>Liquibox</t>
  </si>
  <si>
    <t>MTech</t>
  </si>
  <si>
    <t>Period Quantity</t>
  </si>
  <si>
    <t>Number of Months</t>
  </si>
  <si>
    <t>Quantity per Month</t>
  </si>
  <si>
    <t>Fee per Ton</t>
  </si>
  <si>
    <t>Fee Payable</t>
  </si>
  <si>
    <t>Didget</t>
  </si>
  <si>
    <t>Period Cost</t>
  </si>
  <si>
    <t>Cost per Month</t>
  </si>
  <si>
    <t>01/01/2022 - 31/12/2022</t>
  </si>
  <si>
    <t>01/01/2023 - 31/12/2023</t>
  </si>
  <si>
    <t>Prepared by:  Kangopak</t>
  </si>
  <si>
    <t>Purchase Items per Supplier : 01-01-2022 to 31-12-2022</t>
  </si>
  <si>
    <t/>
  </si>
  <si>
    <t>Doc No</t>
  </si>
  <si>
    <t>Date</t>
  </si>
  <si>
    <t>Qty</t>
  </si>
  <si>
    <t>Unit Cost</t>
  </si>
  <si>
    <t>Total</t>
  </si>
  <si>
    <t>Supplier : LIQ001 - Liqui-Box (Pty) Ltd</t>
  </si>
  <si>
    <t>Item : 4350/000 - Repairs &amp; Maintenance</t>
  </si>
  <si>
    <t>PNA21363</t>
  </si>
  <si>
    <t>25-02-2022</t>
  </si>
  <si>
    <t>Total for Item : 4350/000</t>
  </si>
  <si>
    <t>Item : ANLAM110 - ALS110 Unenabled Parent Reel 1290mm</t>
  </si>
  <si>
    <t>PNA21325</t>
  </si>
  <si>
    <t>23-02-2022</t>
  </si>
  <si>
    <t>PNA21407</t>
  </si>
  <si>
    <t>25-03-2022</t>
  </si>
  <si>
    <t>PNA21477</t>
  </si>
  <si>
    <t>20-04-2022</t>
  </si>
  <si>
    <t>PNA21756</t>
  </si>
  <si>
    <t>26-08-2022</t>
  </si>
  <si>
    <t>PNA21805</t>
  </si>
  <si>
    <t>19-09-2022</t>
  </si>
  <si>
    <t>PNA21846</t>
  </si>
  <si>
    <t>18-10-2022</t>
  </si>
  <si>
    <t>PNA21965</t>
  </si>
  <si>
    <t>17-11-2022</t>
  </si>
  <si>
    <t>PNA21972</t>
  </si>
  <si>
    <t>05-12-2022</t>
  </si>
  <si>
    <t>PNA21974</t>
  </si>
  <si>
    <t>06-12-2022</t>
  </si>
  <si>
    <t>Total for Item : ANLAM110</t>
  </si>
  <si>
    <t>Item : ANLAM62 - ALS62 Unenabled Parent Reel 1290mm</t>
  </si>
  <si>
    <t>PNA21478</t>
  </si>
  <si>
    <t>21-04-2022</t>
  </si>
  <si>
    <t>PNA21642</t>
  </si>
  <si>
    <t>21-07-2022</t>
  </si>
  <si>
    <t>Total for Item : ANLAM62</t>
  </si>
  <si>
    <t>Item : CARTSTOCK - Stock Carton</t>
  </si>
  <si>
    <t>PNA21919</t>
  </si>
  <si>
    <t>11-11-2022</t>
  </si>
  <si>
    <t>Total for Item : CARTSTOCK</t>
  </si>
  <si>
    <t>Item : CBP110 - CBP110 Unenabled Parent Reel 1290mm</t>
  </si>
  <si>
    <t>PNA21225</t>
  </si>
  <si>
    <t>17-01-2022</t>
  </si>
  <si>
    <t>PNA21270</t>
  </si>
  <si>
    <t>20-01-2022</t>
  </si>
  <si>
    <t>PNA21390</t>
  </si>
  <si>
    <t>08-03-2022</t>
  </si>
  <si>
    <t>PNA21508</t>
  </si>
  <si>
    <t>25-04-2022</t>
  </si>
  <si>
    <t>PNA21582</t>
  </si>
  <si>
    <t>20-06-2022</t>
  </si>
  <si>
    <t>PNA21754</t>
  </si>
  <si>
    <t>25-08-2022</t>
  </si>
  <si>
    <t>PNA21755</t>
  </si>
  <si>
    <t>PNA21762</t>
  </si>
  <si>
    <t>15-09-2022</t>
  </si>
  <si>
    <t>PNA21764</t>
  </si>
  <si>
    <t>15-08-2022</t>
  </si>
  <si>
    <t>PNA21868</t>
  </si>
  <si>
    <t>25-10-2022</t>
  </si>
  <si>
    <t>PNA21889</t>
  </si>
  <si>
    <t>31-10-2022</t>
  </si>
  <si>
    <t>PNA21969</t>
  </si>
  <si>
    <t>29-11-2022</t>
  </si>
  <si>
    <t>PCA10446</t>
  </si>
  <si>
    <t>18-03-2022</t>
  </si>
  <si>
    <t>PCA10449</t>
  </si>
  <si>
    <t>23-03-2022</t>
  </si>
  <si>
    <t>PCA10468</t>
  </si>
  <si>
    <t>24-06-2022</t>
  </si>
  <si>
    <t>PCA10475</t>
  </si>
  <si>
    <t>12-08-2022</t>
  </si>
  <si>
    <t>Total for Item : CBP110</t>
  </si>
  <si>
    <t>Item : CBP160 - CBP160 Unenabled Parent Reel 1290mm</t>
  </si>
  <si>
    <t>PNA21300</t>
  </si>
  <si>
    <t>07-02-2022</t>
  </si>
  <si>
    <t>PNA21437</t>
  </si>
  <si>
    <t>04-04-2022</t>
  </si>
  <si>
    <t>PNA21440</t>
  </si>
  <si>
    <t>05-04-2022</t>
  </si>
  <si>
    <t>PNA21585</t>
  </si>
  <si>
    <t>PNA21628</t>
  </si>
  <si>
    <t>06-07-2022</t>
  </si>
  <si>
    <t>PNA21686</t>
  </si>
  <si>
    <t>03-08-2022</t>
  </si>
  <si>
    <t>PNA21758</t>
  </si>
  <si>
    <t>12-09-2022</t>
  </si>
  <si>
    <t>PNA21804</t>
  </si>
  <si>
    <t>22-09-2022</t>
  </si>
  <si>
    <t>PNA21830</t>
  </si>
  <si>
    <t>13-10-2022</t>
  </si>
  <si>
    <t>PNA21831</t>
  </si>
  <si>
    <t>14-10-2022</t>
  </si>
  <si>
    <t>PNA21845</t>
  </si>
  <si>
    <t>PNA21861</t>
  </si>
  <si>
    <t>PNA21867</t>
  </si>
  <si>
    <t>25-09-2022</t>
  </si>
  <si>
    <t>PNA21916</t>
  </si>
  <si>
    <t>15-11-2022</t>
  </si>
  <si>
    <t>PNA21971</t>
  </si>
  <si>
    <t>PCA10425</t>
  </si>
  <si>
    <t>10-02-2022</t>
  </si>
  <si>
    <t>PCA10430</t>
  </si>
  <si>
    <t>PCA10431</t>
  </si>
  <si>
    <t>PCA10432</t>
  </si>
  <si>
    <t>PCA10434</t>
  </si>
  <si>
    <t>PCA10444</t>
  </si>
  <si>
    <t>PCA10445</t>
  </si>
  <si>
    <t>PCA10457</t>
  </si>
  <si>
    <t>PCA10478</t>
  </si>
  <si>
    <t>PCA10489</t>
  </si>
  <si>
    <t>07-12-2022</t>
  </si>
  <si>
    <t>Total for Item : CBP160</t>
  </si>
  <si>
    <t>Item : CBP62 - CBP62 Unenabled Parent Reel 1290mm</t>
  </si>
  <si>
    <t>PNA21272</t>
  </si>
  <si>
    <t>24-01-2022</t>
  </si>
  <si>
    <t>PNA21273</t>
  </si>
  <si>
    <t>25-01-2022</t>
  </si>
  <si>
    <t>PNA21274</t>
  </si>
  <si>
    <t>26-01-2022</t>
  </si>
  <si>
    <t>PNA21324</t>
  </si>
  <si>
    <t>22-02-2022</t>
  </si>
  <si>
    <t>PNA21438</t>
  </si>
  <si>
    <t>PNA21534</t>
  </si>
  <si>
    <t>10-05-2022</t>
  </si>
  <si>
    <t>PNA21567</t>
  </si>
  <si>
    <t>03-06-2022</t>
  </si>
  <si>
    <t>PNA21629</t>
  </si>
  <si>
    <t>07-07-2022</t>
  </si>
  <si>
    <t>PNA21752</t>
  </si>
  <si>
    <t>18-08-2022</t>
  </si>
  <si>
    <t>PNA21753</t>
  </si>
  <si>
    <t>19-08-2022</t>
  </si>
  <si>
    <t>PNA21760</t>
  </si>
  <si>
    <t>PNA21800</t>
  </si>
  <si>
    <t>21-09-2022</t>
  </si>
  <si>
    <t>PNA21825</t>
  </si>
  <si>
    <t>10-10-2022</t>
  </si>
  <si>
    <t>PNA21829</t>
  </si>
  <si>
    <t>12-10-2022</t>
  </si>
  <si>
    <t>PNA21872</t>
  </si>
  <si>
    <t>27-10-2022</t>
  </si>
  <si>
    <t>PNA21873</t>
  </si>
  <si>
    <t>PNA21888</t>
  </si>
  <si>
    <t>PNA21991</t>
  </si>
  <si>
    <t>21-12-2022</t>
  </si>
  <si>
    <t>Total for Item : CBP62</t>
  </si>
  <si>
    <t>Item : CNC001 - Crown National 110mic Front Pan Rev Prnt</t>
  </si>
  <si>
    <t>PNA21327</t>
  </si>
  <si>
    <t>PCA10456</t>
  </si>
  <si>
    <t>PCA10461</t>
  </si>
  <si>
    <t>12-05-2022</t>
  </si>
  <si>
    <t>Total for Item : CNC001</t>
  </si>
  <si>
    <t>Item : CNG001 - Crown National 110mic Gussets</t>
  </si>
  <si>
    <t>Total for Item : CNG001</t>
  </si>
  <si>
    <t>Item : CNP001 - Crown National 110mic Back Pan Rev Print</t>
  </si>
  <si>
    <t>Total for Item : CNP001</t>
  </si>
  <si>
    <t>Item : CPL110 - CPL 110 Unenabled Parent Reel 1290mm</t>
  </si>
  <si>
    <t>PNA21434</t>
  </si>
  <si>
    <t>31-03-2022</t>
  </si>
  <si>
    <t>PNA21436</t>
  </si>
  <si>
    <t>26-03-2022</t>
  </si>
  <si>
    <t>PNA21439</t>
  </si>
  <si>
    <t>PNA21463</t>
  </si>
  <si>
    <t>PNA21476</t>
  </si>
  <si>
    <t>PNA21479</t>
  </si>
  <si>
    <t>PNA21643</t>
  </si>
  <si>
    <t>22-07-2022</t>
  </si>
  <si>
    <t>PNA21799</t>
  </si>
  <si>
    <t>PNA21826</t>
  </si>
  <si>
    <t>PNA21828</t>
  </si>
  <si>
    <t>11-10-2022</t>
  </si>
  <si>
    <t>PNA21976</t>
  </si>
  <si>
    <t>09-12-2022</t>
  </si>
  <si>
    <t>PCA10455</t>
  </si>
  <si>
    <t>26-04-2022</t>
  </si>
  <si>
    <t>PCA10477</t>
  </si>
  <si>
    <t>PCA10490</t>
  </si>
  <si>
    <t>Total for Item : CPL110</t>
  </si>
  <si>
    <t>Item : CPL160 - CPL160 Unenabled Parent Reel 1290mm</t>
  </si>
  <si>
    <t>PNA21276</t>
  </si>
  <si>
    <t>28-01-2022</t>
  </si>
  <si>
    <t>PNA21326</t>
  </si>
  <si>
    <t>PNA21329</t>
  </si>
  <si>
    <t>01-03-2022</t>
  </si>
  <si>
    <t>PNA21404</t>
  </si>
  <si>
    <t>15-03-2022</t>
  </si>
  <si>
    <t>PNA21405</t>
  </si>
  <si>
    <t>16-03-2022</t>
  </si>
  <si>
    <t>PNA21480</t>
  </si>
  <si>
    <t>PNA21507</t>
  </si>
  <si>
    <t>28-04-2022</t>
  </si>
  <si>
    <t>PNA21509</t>
  </si>
  <si>
    <t>PNA21535</t>
  </si>
  <si>
    <t>16-05-2022</t>
  </si>
  <si>
    <t>PNA21549</t>
  </si>
  <si>
    <t>31-05-2022</t>
  </si>
  <si>
    <t>PNA21566</t>
  </si>
  <si>
    <t>PNA21584</t>
  </si>
  <si>
    <t>PNA21630</t>
  </si>
  <si>
    <t>20-07-2022</t>
  </si>
  <si>
    <t>PNA21687</t>
  </si>
  <si>
    <t>11-08-2022</t>
  </si>
  <si>
    <t>PNA21761</t>
  </si>
  <si>
    <t>PNA21798</t>
  </si>
  <si>
    <t>PNA21801</t>
  </si>
  <si>
    <t>26-09-2022</t>
  </si>
  <si>
    <t>PNA21802</t>
  </si>
  <si>
    <t>30-09-2022</t>
  </si>
  <si>
    <t>PNA21803</t>
  </si>
  <si>
    <t>PNA21827</t>
  </si>
  <si>
    <t>PNA21970</t>
  </si>
  <si>
    <t>30-11-2022</t>
  </si>
  <si>
    <t>PNA21992</t>
  </si>
  <si>
    <t>PCA10433</t>
  </si>
  <si>
    <t>PCA10435</t>
  </si>
  <si>
    <t>PCA10443</t>
  </si>
  <si>
    <t>PCA10448</t>
  </si>
  <si>
    <t>PCA10458</t>
  </si>
  <si>
    <t>PCA10467</t>
  </si>
  <si>
    <t>23-06-2022</t>
  </si>
  <si>
    <t>PCA10469</t>
  </si>
  <si>
    <t>30-06-2022</t>
  </si>
  <si>
    <t>PCA10470</t>
  </si>
  <si>
    <t>PCA10476</t>
  </si>
  <si>
    <t>PCA10488</t>
  </si>
  <si>
    <t>PCA10491</t>
  </si>
  <si>
    <t>Total for Item : CPL160</t>
  </si>
  <si>
    <t>Item : CPS62 - CPL62 Unenabled Parent Reel 1290mm</t>
  </si>
  <si>
    <t>PNA21464</t>
  </si>
  <si>
    <t>08-04-2022</t>
  </si>
  <si>
    <t>PNA21757</t>
  </si>
  <si>
    <t>31-08-2022</t>
  </si>
  <si>
    <t>Total for Item : CPS62</t>
  </si>
  <si>
    <t>Item : DSF001 - D Spic Frt Pan 110x210x66mm 430mm 110mic</t>
  </si>
  <si>
    <t>PCA10429</t>
  </si>
  <si>
    <t>Total for Item : DSF001</t>
  </si>
  <si>
    <t>Item : EWPL160 - WPL 160mic Enabled 1290mm Parent Reel</t>
  </si>
  <si>
    <t>PNA21301</t>
  </si>
  <si>
    <t>PNA21871</t>
  </si>
  <si>
    <t>PNA21927</t>
  </si>
  <si>
    <t>03-10-2022</t>
  </si>
  <si>
    <t>PNA21930</t>
  </si>
  <si>
    <t>Total for Item : EWPL160</t>
  </si>
  <si>
    <t>Item : FHC001 - Freddy Hirsch 100mic Front Panel</t>
  </si>
  <si>
    <t>PNA21275</t>
  </si>
  <si>
    <t>PNA21441</t>
  </si>
  <si>
    <t>06-04-2022</t>
  </si>
  <si>
    <t>PNA21462</t>
  </si>
  <si>
    <t>07-04-2022</t>
  </si>
  <si>
    <t>PNA21681</t>
  </si>
  <si>
    <t>01-07-2022</t>
  </si>
  <si>
    <t>PNA21860</t>
  </si>
  <si>
    <t>21-10-2022</t>
  </si>
  <si>
    <t>PNA21966</t>
  </si>
  <si>
    <t>23-11-2022</t>
  </si>
  <si>
    <t>PNA21967</t>
  </si>
  <si>
    <t>PNA21968</t>
  </si>
  <si>
    <t>28-11-2022</t>
  </si>
  <si>
    <t>PNA21973</t>
  </si>
  <si>
    <t>PNA21977</t>
  </si>
  <si>
    <t>PNA21990</t>
  </si>
  <si>
    <t>20-12-2022</t>
  </si>
  <si>
    <t>PNA21993</t>
  </si>
  <si>
    <t>22-12-2022</t>
  </si>
  <si>
    <t>PCA10492</t>
  </si>
  <si>
    <t>Total for Item : FHC001</t>
  </si>
  <si>
    <t>Item : FHP001 - Freddy Hirsch 100mic Printed Back Panel</t>
  </si>
  <si>
    <t>PCA10460</t>
  </si>
  <si>
    <t>Total for Item : FHP001</t>
  </si>
  <si>
    <t>Item : MEZ001 - Meze Foods Print Reel Stock 815mm 160mic</t>
  </si>
  <si>
    <t>PNA21918</t>
  </si>
  <si>
    <t>Total for Item : MEZ001</t>
  </si>
  <si>
    <t>Item : NP90 - BO Nylon//eLLDPE Overall Thickness 90mic</t>
  </si>
  <si>
    <t>PNA21964</t>
  </si>
  <si>
    <t>Total for Item : NP90</t>
  </si>
  <si>
    <t>Item : NYLAM75 - Nylam75 - MET PET/BO NYLON/LLDPE</t>
  </si>
  <si>
    <t>PNA21592</t>
  </si>
  <si>
    <t>PNA21759</t>
  </si>
  <si>
    <t>13-09-2022</t>
  </si>
  <si>
    <t>Total for Item : NYLAM75</t>
  </si>
  <si>
    <t>Item : PNL160 - PvDC PET / Bo Nylon / LLDPE 160mic 940mm</t>
  </si>
  <si>
    <t>PNA21267</t>
  </si>
  <si>
    <t>18-01-2022</t>
  </si>
  <si>
    <t>PNA21268</t>
  </si>
  <si>
    <t>19-01-2022</t>
  </si>
  <si>
    <t>PNA21269</t>
  </si>
  <si>
    <t>PNA21271</t>
  </si>
  <si>
    <t>PNA21975</t>
  </si>
  <si>
    <t>08-12-2022</t>
  </si>
  <si>
    <t>PNA21989</t>
  </si>
  <si>
    <t>15-12-2022</t>
  </si>
  <si>
    <t>Total for Item : PNL160</t>
  </si>
  <si>
    <t>Item : REN001 - Renew Original 612mm PET/BON/W LL 160</t>
  </si>
  <si>
    <t>PNA21926</t>
  </si>
  <si>
    <t>18-11-2022</t>
  </si>
  <si>
    <t>Total for Item : REN001</t>
  </si>
  <si>
    <t>Item : REN002 - Renew Milk &amp; Hony 612mm PET/BON/W LL 160</t>
  </si>
  <si>
    <t>PNA21917</t>
  </si>
  <si>
    <t>PCA10436</t>
  </si>
  <si>
    <t>Total for Item : REN002</t>
  </si>
  <si>
    <t>Item : REN003 - Renew Com Care 612mm PET/BON/W LL 160</t>
  </si>
  <si>
    <t>Total for Item : REN003</t>
  </si>
  <si>
    <t>Item : SCO001 - Seed Co Printed Reel 152mic 668mm Zimbab</t>
  </si>
  <si>
    <t>PCA10423</t>
  </si>
  <si>
    <t>PCA10424</t>
  </si>
  <si>
    <t>PCA10426</t>
  </si>
  <si>
    <t>PCA10427</t>
  </si>
  <si>
    <t>Total for Item : SCO001</t>
  </si>
  <si>
    <t>Item : WNC120 - White Nylon PET 120mic</t>
  </si>
  <si>
    <t>PNA21328</t>
  </si>
  <si>
    <t>18-02-2022</t>
  </si>
  <si>
    <t>PNA21435</t>
  </si>
  <si>
    <t>Total for Item : WNC120</t>
  </si>
  <si>
    <t>Item : WPS160 - White Pet Laminated 160mic</t>
  </si>
  <si>
    <t>PNA21406</t>
  </si>
  <si>
    <t>PNA21541</t>
  </si>
  <si>
    <t>26-05-2022</t>
  </si>
  <si>
    <t>PNA21763</t>
  </si>
  <si>
    <t>PCA10428</t>
  </si>
  <si>
    <t>PCA10447</t>
  </si>
  <si>
    <t>Total for Item : WPS160</t>
  </si>
  <si>
    <t>Total for Supplier : LIQ001 - Liqui-Box (Pty) Ltd</t>
  </si>
  <si>
    <t>GRAND TOTAL</t>
  </si>
  <si>
    <t>Total Sourced - 2022</t>
  </si>
  <si>
    <t>Export Material - 2022</t>
  </si>
  <si>
    <t xml:space="preserve">Billable Quantity - </t>
  </si>
  <si>
    <t>EPR Charged Quantity</t>
  </si>
  <si>
    <t>Purchase Items per Supplier : 01-01-2023 to 31-12-2023</t>
  </si>
  <si>
    <t>Item : 2000/000 - Cost of Sales</t>
  </si>
  <si>
    <t>PNA22344</t>
  </si>
  <si>
    <t>07-06-2023</t>
  </si>
  <si>
    <t>PNA22544</t>
  </si>
  <si>
    <t>11-07-2023</t>
  </si>
  <si>
    <t>PNA22545</t>
  </si>
  <si>
    <t>Total for Item : 2000/000</t>
  </si>
  <si>
    <t>Item : ALS85 - ALS 85mic Enabled 1290mm Parent Reel</t>
  </si>
  <si>
    <t>PNA22797</t>
  </si>
  <si>
    <t>08-12-2023</t>
  </si>
  <si>
    <t>Total for Item : ALS85</t>
  </si>
  <si>
    <t>PNA22075</t>
  </si>
  <si>
    <t>26-01-2023</t>
  </si>
  <si>
    <t>PNA22108</t>
  </si>
  <si>
    <t>16-02-2023</t>
  </si>
  <si>
    <t>PNA22189</t>
  </si>
  <si>
    <t>27-03-2023</t>
  </si>
  <si>
    <t>PNA22241</t>
  </si>
  <si>
    <t>17-04-2023</t>
  </si>
  <si>
    <t>PNA22244</t>
  </si>
  <si>
    <t>18-04-2023</t>
  </si>
  <si>
    <t>PNA22350</t>
  </si>
  <si>
    <t>19-06-2023</t>
  </si>
  <si>
    <t>PNA22403</t>
  </si>
  <si>
    <t>17-07-2023</t>
  </si>
  <si>
    <t>PNA22436</t>
  </si>
  <si>
    <t>08-08-2023</t>
  </si>
  <si>
    <t>PNA22597</t>
  </si>
  <si>
    <t>12-10-2023</t>
  </si>
  <si>
    <t>PNA22742</t>
  </si>
  <si>
    <t>17-11-2023</t>
  </si>
  <si>
    <t>PCA10517</t>
  </si>
  <si>
    <t>11-08-2023</t>
  </si>
  <si>
    <t>PNA22264</t>
  </si>
  <si>
    <t>10-05-2023</t>
  </si>
  <si>
    <t>PNA22345</t>
  </si>
  <si>
    <t>PNA22655</t>
  </si>
  <si>
    <t>20-10-2023</t>
  </si>
  <si>
    <t>PNA22743</t>
  </si>
  <si>
    <t>PNA22095</t>
  </si>
  <si>
    <t>03-02-2023</t>
  </si>
  <si>
    <t>PNA22096</t>
  </si>
  <si>
    <t>04-02-2023</t>
  </si>
  <si>
    <t>PNA22097</t>
  </si>
  <si>
    <t>06-02-2023</t>
  </si>
  <si>
    <t>PNA22098</t>
  </si>
  <si>
    <t>08-02-2023</t>
  </si>
  <si>
    <t>PNA22150</t>
  </si>
  <si>
    <t>20-02-2023</t>
  </si>
  <si>
    <t>PNA22192</t>
  </si>
  <si>
    <t>31-03-2023</t>
  </si>
  <si>
    <t>PNA22194</t>
  </si>
  <si>
    <t>06-04-2023</t>
  </si>
  <si>
    <t>PNA22238</t>
  </si>
  <si>
    <t>12-04-2023</t>
  </si>
  <si>
    <t>PNA22348</t>
  </si>
  <si>
    <t>15-06-2023</t>
  </si>
  <si>
    <t>PNA22369</t>
  </si>
  <si>
    <t>04-07-2023</t>
  </si>
  <si>
    <t>PNA22501</t>
  </si>
  <si>
    <t>18-08-2023</t>
  </si>
  <si>
    <t>PNA22503</t>
  </si>
  <si>
    <t>29-08-2023</t>
  </si>
  <si>
    <t>PNA22584</t>
  </si>
  <si>
    <t>06-10-2023</t>
  </si>
  <si>
    <t>PCA10502</t>
  </si>
  <si>
    <t>Item : CBP130 - CBP 130mic Enable Parent Reel 1290mm</t>
  </si>
  <si>
    <t>PNA22624</t>
  </si>
  <si>
    <t>16-10-2023</t>
  </si>
  <si>
    <t>PNA22662</t>
  </si>
  <si>
    <t>03-11-2023</t>
  </si>
  <si>
    <t>PNA22736</t>
  </si>
  <si>
    <t>28-11-2023</t>
  </si>
  <si>
    <t>PNA22799</t>
  </si>
  <si>
    <t>12-12-2023</t>
  </si>
  <si>
    <t>PNA22800</t>
  </si>
  <si>
    <t>14-12-2023</t>
  </si>
  <si>
    <t>PNA22803</t>
  </si>
  <si>
    <t>19-12-2023</t>
  </si>
  <si>
    <t>PNA22804</t>
  </si>
  <si>
    <t>Total for Item : CBP130</t>
  </si>
  <si>
    <t>PNA22099</t>
  </si>
  <si>
    <t>PNA22112</t>
  </si>
  <si>
    <t>21-02-2023</t>
  </si>
  <si>
    <t>PNA22186</t>
  </si>
  <si>
    <t>20-03-2023</t>
  </si>
  <si>
    <t>PNA22187</t>
  </si>
  <si>
    <t>22-03-2023</t>
  </si>
  <si>
    <t>PNA22188</t>
  </si>
  <si>
    <t>23-03-2023</t>
  </si>
  <si>
    <t>PNA22191</t>
  </si>
  <si>
    <t>28-03-2023</t>
  </si>
  <si>
    <t>PNA22310</t>
  </si>
  <si>
    <t>31-05-2023</t>
  </si>
  <si>
    <t>PNA22349</t>
  </si>
  <si>
    <t>PNA22351</t>
  </si>
  <si>
    <t>22-06-2023</t>
  </si>
  <si>
    <t>PNA22437</t>
  </si>
  <si>
    <t>PNA22505</t>
  </si>
  <si>
    <t>PCA10519</t>
  </si>
  <si>
    <t>Item : CBP52 - CBP 52mic Enabled 1290mm Parent Reel</t>
  </si>
  <si>
    <t>PNA22532</t>
  </si>
  <si>
    <t>15-09-2023</t>
  </si>
  <si>
    <t>PNA22596</t>
  </si>
  <si>
    <t>13-10-2023</t>
  </si>
  <si>
    <t>PNA22737</t>
  </si>
  <si>
    <t>PNA22739</t>
  </si>
  <si>
    <t>29-11-2023</t>
  </si>
  <si>
    <t>PNA22795</t>
  </si>
  <si>
    <t>06-12-2023</t>
  </si>
  <si>
    <t>Total for Item : CBP52</t>
  </si>
  <si>
    <t>PNA22077</t>
  </si>
  <si>
    <t>PNA22152</t>
  </si>
  <si>
    <t>PNA22195</t>
  </si>
  <si>
    <t>PNA22239</t>
  </si>
  <si>
    <t>PNA22265</t>
  </si>
  <si>
    <t>12-05-2023</t>
  </si>
  <si>
    <t>PNA22346</t>
  </si>
  <si>
    <t>PNA22368</t>
  </si>
  <si>
    <t>PNA22435</t>
  </si>
  <si>
    <t>PNA22500</t>
  </si>
  <si>
    <t>PNA22504</t>
  </si>
  <si>
    <t>PCA10516</t>
  </si>
  <si>
    <t>Item : CBP85 - CBP 85mic Enabled 1290mm Parent Reel</t>
  </si>
  <si>
    <t>PNA22653</t>
  </si>
  <si>
    <t>PNA22798</t>
  </si>
  <si>
    <t>11-12-2023</t>
  </si>
  <si>
    <t>PNA22802</t>
  </si>
  <si>
    <t>Total for Item : CBP85</t>
  </si>
  <si>
    <t>PNA22072</t>
  </si>
  <si>
    <t>24-01-2023</t>
  </si>
  <si>
    <t>PNA22242</t>
  </si>
  <si>
    <t>PNA22290</t>
  </si>
  <si>
    <t>24-05-2023</t>
  </si>
  <si>
    <t>PNA22402</t>
  </si>
  <si>
    <t>PNA22496</t>
  </si>
  <si>
    <t>PNA22507</t>
  </si>
  <si>
    <t>30-08-2023</t>
  </si>
  <si>
    <t>PNA22074</t>
  </si>
  <si>
    <t>25-01-2023</t>
  </si>
  <si>
    <t>PNA22133</t>
  </si>
  <si>
    <t>27-02-2023</t>
  </si>
  <si>
    <t>PNA22138</t>
  </si>
  <si>
    <t>03-03-2023</t>
  </si>
  <si>
    <t>PNA22185</t>
  </si>
  <si>
    <t>16-03-2023</t>
  </si>
  <si>
    <t>PNA22190</t>
  </si>
  <si>
    <t>PNA22196</t>
  </si>
  <si>
    <t>11-04-2023</t>
  </si>
  <si>
    <t>PNA22240</t>
  </si>
  <si>
    <t>PNA22243</t>
  </si>
  <si>
    <t>PNA22266</t>
  </si>
  <si>
    <t>PNA22287</t>
  </si>
  <si>
    <t>17-05-2023</t>
  </si>
  <si>
    <t>PNA22288</t>
  </si>
  <si>
    <t>18-05-2023</t>
  </si>
  <si>
    <t>PNA22347</t>
  </si>
  <si>
    <t>13-06-2023</t>
  </si>
  <si>
    <t>PNA22353</t>
  </si>
  <si>
    <t>29-06-2023</t>
  </si>
  <si>
    <t>PNA22354</t>
  </si>
  <si>
    <t>30-06-2023</t>
  </si>
  <si>
    <t>PNA22371</t>
  </si>
  <si>
    <t>07-07-2023</t>
  </si>
  <si>
    <t>PNA22401</t>
  </si>
  <si>
    <t>PNA22404</t>
  </si>
  <si>
    <t>21-07-2023</t>
  </si>
  <si>
    <t>PNA22526</t>
  </si>
  <si>
    <t>12-09-2023</t>
  </si>
  <si>
    <t>PNA22527</t>
  </si>
  <si>
    <t>13-09-2023</t>
  </si>
  <si>
    <t>PNA22530</t>
  </si>
  <si>
    <t>PNA22612</t>
  </si>
  <si>
    <t>01-03-2023</t>
  </si>
  <si>
    <t>PNA22654</t>
  </si>
  <si>
    <t>19-10-2023</t>
  </si>
  <si>
    <t>PNA22734</t>
  </si>
  <si>
    <t>27-11-2023</t>
  </si>
  <si>
    <t>PCA10500</t>
  </si>
  <si>
    <t>PCA10518</t>
  </si>
  <si>
    <t>PCA10535</t>
  </si>
  <si>
    <t>30-11-2023</t>
  </si>
  <si>
    <t>PCA10536</t>
  </si>
  <si>
    <t>Item : CPL85 - CPL 85mic Enabled Parent Reel 1290mm</t>
  </si>
  <si>
    <t>PNA22623</t>
  </si>
  <si>
    <t>PNA22801</t>
  </si>
  <si>
    <t>Total for Item : CPL85</t>
  </si>
  <si>
    <t>PNA22111</t>
  </si>
  <si>
    <t>PNA22352</t>
  </si>
  <si>
    <t>PNA22370</t>
  </si>
  <si>
    <t>PNA22438</t>
  </si>
  <si>
    <t>PNA22076</t>
  </si>
  <si>
    <t>PNA22263</t>
  </si>
  <si>
    <t>PNA22441</t>
  </si>
  <si>
    <t>31-07-2023</t>
  </si>
  <si>
    <t>PNA22497</t>
  </si>
  <si>
    <t>14-08-2023</t>
  </si>
  <si>
    <t>PNA22531</t>
  </si>
  <si>
    <t>PNA22656</t>
  </si>
  <si>
    <t>PNA22661</t>
  </si>
  <si>
    <t>PNA22673</t>
  </si>
  <si>
    <t>07-11-2023</t>
  </si>
  <si>
    <t>PNA22070</t>
  </si>
  <si>
    <t>23-01-2023</t>
  </si>
  <si>
    <t>PNA22071</t>
  </si>
  <si>
    <t>PNA22073</t>
  </si>
  <si>
    <t>PNA22136</t>
  </si>
  <si>
    <t>28-02-2023</t>
  </si>
  <si>
    <t>PNA22380</t>
  </si>
  <si>
    <t>PNA22381</t>
  </si>
  <si>
    <t>12-07-2023</t>
  </si>
  <si>
    <t>PNA22405</t>
  </si>
  <si>
    <t>PNA22498</t>
  </si>
  <si>
    <t>PNA22499</t>
  </si>
  <si>
    <t>PNA22502</t>
  </si>
  <si>
    <t>21-08-2023</t>
  </si>
  <si>
    <t>PNA22506</t>
  </si>
  <si>
    <t>PNA22685</t>
  </si>
  <si>
    <t>09-11-2023</t>
  </si>
  <si>
    <t>PNA22796</t>
  </si>
  <si>
    <t>Item : FRE001 - Freight Charges</t>
  </si>
  <si>
    <t>PNA22289</t>
  </si>
  <si>
    <t>22-05-2023</t>
  </si>
  <si>
    <t>PNA22439</t>
  </si>
  <si>
    <t>10-08-2023</t>
  </si>
  <si>
    <t>PNA22528</t>
  </si>
  <si>
    <t>PNA22529</t>
  </si>
  <si>
    <t>PNA22660</t>
  </si>
  <si>
    <t>02-11-2023</t>
  </si>
  <si>
    <t>PNA22669</t>
  </si>
  <si>
    <t>06-11-2023</t>
  </si>
  <si>
    <t>PNA22674</t>
  </si>
  <si>
    <t>PNA22732</t>
  </si>
  <si>
    <t>16-11-2023</t>
  </si>
  <si>
    <t>PNA22733</t>
  </si>
  <si>
    <t>PNA22735</t>
  </si>
  <si>
    <t>PNA22738</t>
  </si>
  <si>
    <t>PNA22740</t>
  </si>
  <si>
    <t>PNA22741</t>
  </si>
  <si>
    <t>PNA22794</t>
  </si>
  <si>
    <t>01-12-2023</t>
  </si>
  <si>
    <t>Total for Item : FRE001</t>
  </si>
  <si>
    <t>Item : LSE001 - Lifestyle Range Erythritol 500g 522mm</t>
  </si>
  <si>
    <t>PCA10515</t>
  </si>
  <si>
    <t>Total for Item : LSE001</t>
  </si>
  <si>
    <t>Item : NP130 - BO Nylon // Clear LLDPE Enabled 1290mm</t>
  </si>
  <si>
    <t>Total for Item : NP130</t>
  </si>
  <si>
    <t>Item : NYLAM117 - Nylam 117</t>
  </si>
  <si>
    <t>Total for Item : NYLAM117</t>
  </si>
  <si>
    <t>PNA22193</t>
  </si>
  <si>
    <t>04-04-2023</t>
  </si>
  <si>
    <t>PNA22078</t>
  </si>
  <si>
    <t>PNA22079</t>
  </si>
  <si>
    <t>27-01-2023</t>
  </si>
  <si>
    <t>PNA22080</t>
  </si>
  <si>
    <t>28-01-2023</t>
  </si>
  <si>
    <t>PNA22081</t>
  </si>
  <si>
    <t>31-01-2023</t>
  </si>
  <si>
    <t>PNA22100</t>
  </si>
  <si>
    <t>13-02-2023</t>
  </si>
  <si>
    <t>PNA22101</t>
  </si>
  <si>
    <t>14-02-2023</t>
  </si>
  <si>
    <t>PNA22109</t>
  </si>
  <si>
    <t>PNA22110</t>
  </si>
  <si>
    <t>17-02-2023</t>
  </si>
  <si>
    <t>PNA22115</t>
  </si>
  <si>
    <t>15-02-2023</t>
  </si>
  <si>
    <t>PNA22134</t>
  </si>
  <si>
    <t>PNA22135</t>
  </si>
  <si>
    <t>08-03-2023</t>
  </si>
  <si>
    <t>PNA22137</t>
  </si>
  <si>
    <t>PNA22151</t>
  </si>
  <si>
    <t>PNA22184</t>
  </si>
  <si>
    <t>13-03-2023</t>
  </si>
  <si>
    <t>PNA22691</t>
  </si>
  <si>
    <t>Item : WPL110 - PET / WHITE PET Thickness: 100mic 1290mm</t>
  </si>
  <si>
    <t>Total for Item : WPL110</t>
  </si>
  <si>
    <t>Total Sourced - 2023</t>
  </si>
  <si>
    <t>Export Material - 2023</t>
  </si>
  <si>
    <t>Export Material - PVNS160 - 2022</t>
  </si>
  <si>
    <t>Purchase Items per Supplier : 01-01-2024 to 31-05-2024</t>
  </si>
  <si>
    <t>PNA22905</t>
  </si>
  <si>
    <t>09-02-2024</t>
  </si>
  <si>
    <t>Item : 3560/000 - Rounding</t>
  </si>
  <si>
    <t>PNA23023</t>
  </si>
  <si>
    <t>19-03-2024</t>
  </si>
  <si>
    <t>PNA23050</t>
  </si>
  <si>
    <t>19-04-2024</t>
  </si>
  <si>
    <t>PNA23079</t>
  </si>
  <si>
    <t>29-04-2024</t>
  </si>
  <si>
    <t>PNA23081</t>
  </si>
  <si>
    <t>06-05-2024</t>
  </si>
  <si>
    <t>PNA23083</t>
  </si>
  <si>
    <t>PNA23089</t>
  </si>
  <si>
    <t>03-04-2024</t>
  </si>
  <si>
    <t>PNA23090</t>
  </si>
  <si>
    <t>PNA23107</t>
  </si>
  <si>
    <t>PNA23108</t>
  </si>
  <si>
    <t>14-05-2024</t>
  </si>
  <si>
    <t>PNA23109</t>
  </si>
  <si>
    <t>20-05-2024</t>
  </si>
  <si>
    <t>PNA23129</t>
  </si>
  <si>
    <t>30-05-2024</t>
  </si>
  <si>
    <t>PNA23154</t>
  </si>
  <si>
    <t>23-05-2024</t>
  </si>
  <si>
    <t>PCA10552</t>
  </si>
  <si>
    <t>25-04-2024</t>
  </si>
  <si>
    <t>Total for Item : 3560/000</t>
  </si>
  <si>
    <t>PNA23051</t>
  </si>
  <si>
    <t>22-04-2024</t>
  </si>
  <si>
    <t>PNA23052</t>
  </si>
  <si>
    <t>Item : ALS52 - Anlam 52mic Parent Reel 1290mm</t>
  </si>
  <si>
    <t>Total for Item : ALS52</t>
  </si>
  <si>
    <t>PNA22846</t>
  </si>
  <si>
    <t>29-01-2024</t>
  </si>
  <si>
    <t>PNA22903</t>
  </si>
  <si>
    <t>07-02-2024</t>
  </si>
  <si>
    <t>PNA22810</t>
  </si>
  <si>
    <t>17-01-2024</t>
  </si>
  <si>
    <t>PNA22860</t>
  </si>
  <si>
    <t>31-01-2024</t>
  </si>
  <si>
    <t>PNA22912</t>
  </si>
  <si>
    <t>20-02-2024</t>
  </si>
  <si>
    <t>PNA22943</t>
  </si>
  <si>
    <t>28-02-2024</t>
  </si>
  <si>
    <t>PNA22948</t>
  </si>
  <si>
    <t>23-02-2024</t>
  </si>
  <si>
    <t>PNA22976</t>
  </si>
  <si>
    <t>12-03-2024</t>
  </si>
  <si>
    <t>PNA22977</t>
  </si>
  <si>
    <t>13-03-2024</t>
  </si>
  <si>
    <t>PNA22844</t>
  </si>
  <si>
    <t>PNA22843</t>
  </si>
  <si>
    <t>PNA22900</t>
  </si>
  <si>
    <t>PNA22809</t>
  </si>
  <si>
    <t>PNA22859</t>
  </si>
  <si>
    <t>30-01-2024</t>
  </si>
  <si>
    <t>PNA22898</t>
  </si>
  <si>
    <t>02-02-2024</t>
  </si>
  <si>
    <t>PNA22913</t>
  </si>
  <si>
    <t>PNA22942</t>
  </si>
  <si>
    <t>PNA23084</t>
  </si>
  <si>
    <t>13-05-2024</t>
  </si>
  <si>
    <t>Item : CPL52 - CPL52mic Enabled Parent Reel 1290mm</t>
  </si>
  <si>
    <t>PNA23082</t>
  </si>
  <si>
    <t>Total for Item : CPL52</t>
  </si>
  <si>
    <t>PNA22845</t>
  </si>
  <si>
    <t>PNA22902</t>
  </si>
  <si>
    <t>PNA22841</t>
  </si>
  <si>
    <t>24-01-2024</t>
  </si>
  <si>
    <t>PNA22901</t>
  </si>
  <si>
    <t>PNA22904</t>
  </si>
  <si>
    <t>PNA22909</t>
  </si>
  <si>
    <t>19-02-2024</t>
  </si>
  <si>
    <t>PNA23017</t>
  </si>
  <si>
    <t>28-03-2024</t>
  </si>
  <si>
    <t>PNA23080</t>
  </si>
  <si>
    <t>30-04-2024</t>
  </si>
  <si>
    <t>PNA22975</t>
  </si>
  <si>
    <t>PNA22811</t>
  </si>
  <si>
    <t>PNA22842</t>
  </si>
  <si>
    <t>25-01-2024</t>
  </si>
  <si>
    <t>PNA22858</t>
  </si>
  <si>
    <t>PNA22861</t>
  </si>
  <si>
    <t>PNA22862</t>
  </si>
  <si>
    <t>01-02-2024</t>
  </si>
  <si>
    <t>PNA22865</t>
  </si>
  <si>
    <t>26-01-2024</t>
  </si>
  <si>
    <t>PNA22866</t>
  </si>
  <si>
    <t>PNA22897</t>
  </si>
  <si>
    <t>PNA22899</t>
  </si>
  <si>
    <t>06-02-2024</t>
  </si>
  <si>
    <t>PNA22906</t>
  </si>
  <si>
    <t>13-02-2024</t>
  </si>
  <si>
    <t>PNA22907</t>
  </si>
  <si>
    <t>14-02-2024</t>
  </si>
  <si>
    <t>PNA22908</t>
  </si>
  <si>
    <t>16-01-2024</t>
  </si>
  <si>
    <t>PNA22910</t>
  </si>
  <si>
    <t>PNA22911</t>
  </si>
  <si>
    <t>PNA22940</t>
  </si>
  <si>
    <t>21-02-2024</t>
  </si>
  <si>
    <t>PNA22941</t>
  </si>
  <si>
    <t>22-02-2024</t>
  </si>
  <si>
    <t>PNA22944</t>
  </si>
  <si>
    <t>PNA22946</t>
  </si>
  <si>
    <t>16-02-2024</t>
  </si>
  <si>
    <t>PNA22947</t>
  </si>
  <si>
    <t>PCA10544</t>
  </si>
  <si>
    <t>Item : NP160 - BO Nylon/Clear LLDPE Enabl 1290mm 160mic</t>
  </si>
  <si>
    <t>Total for Item : NP160</t>
  </si>
  <si>
    <t>PNA23018</t>
  </si>
  <si>
    <t>PNA22989</t>
  </si>
  <si>
    <t>Total Sourced - 2024</t>
  </si>
  <si>
    <t>Export Material - 2024</t>
  </si>
  <si>
    <t>01/01/2024 - 31/05/2024</t>
  </si>
  <si>
    <t>Column3</t>
  </si>
  <si>
    <t>Supplier : MTE001 - Mtech SA (Pty) Ltd</t>
  </si>
  <si>
    <t>PNA23020</t>
  </si>
  <si>
    <t>26-03-2024</t>
  </si>
  <si>
    <t>PNA23021</t>
  </si>
  <si>
    <t>PNA23030</t>
  </si>
  <si>
    <t>05-04-2024</t>
  </si>
  <si>
    <t>PNA23049</t>
  </si>
  <si>
    <t>10-04-2024</t>
  </si>
  <si>
    <t>PNA23071</t>
  </si>
  <si>
    <t>PNA23072</t>
  </si>
  <si>
    <t>PNA23073</t>
  </si>
  <si>
    <t>PNA23074</t>
  </si>
  <si>
    <t>02-05-2024</t>
  </si>
  <si>
    <t>PNA23075</t>
  </si>
  <si>
    <t>PNA23078</t>
  </si>
  <si>
    <t>10-05-2024</t>
  </si>
  <si>
    <t>PNA23093</t>
  </si>
  <si>
    <t>PCA10551</t>
  </si>
  <si>
    <t>PNA22840</t>
  </si>
  <si>
    <t>22-01-2024</t>
  </si>
  <si>
    <t>PNA22872</t>
  </si>
  <si>
    <t>PNA22877</t>
  </si>
  <si>
    <t>12-01-2024</t>
  </si>
  <si>
    <t>PNA22950</t>
  </si>
  <si>
    <t>12-02-2024</t>
  </si>
  <si>
    <t>PNA22960</t>
  </si>
  <si>
    <t>01-03-2024</t>
  </si>
  <si>
    <t>PCA10545</t>
  </si>
  <si>
    <t>PNA22873</t>
  </si>
  <si>
    <t>PNA22879</t>
  </si>
  <si>
    <t>PNA22962</t>
  </si>
  <si>
    <t>PNA22966</t>
  </si>
  <si>
    <t>04-03-2024</t>
  </si>
  <si>
    <t>PNA22874</t>
  </si>
  <si>
    <t>PNA22878</t>
  </si>
  <si>
    <t>PNA22961</t>
  </si>
  <si>
    <t>PNA22967</t>
  </si>
  <si>
    <t>Item : EPR001 - EPR Fees - Input Charge</t>
  </si>
  <si>
    <t>PNA22807</t>
  </si>
  <si>
    <t>PNA22808</t>
  </si>
  <si>
    <t>19-01-2024</t>
  </si>
  <si>
    <t>PNA22848</t>
  </si>
  <si>
    <t>PNA22870</t>
  </si>
  <si>
    <t>PNA22871</t>
  </si>
  <si>
    <t>PNA22875</t>
  </si>
  <si>
    <t>PNA22876</t>
  </si>
  <si>
    <t>PNA22996</t>
  </si>
  <si>
    <t>20-03-2024</t>
  </si>
  <si>
    <t>PNA22997</t>
  </si>
  <si>
    <t>Total for Item : EPR001</t>
  </si>
  <si>
    <t>Item : FHG001 - Fred Hirsch Gussets MET PET/LLDPE 100mic</t>
  </si>
  <si>
    <t>Total for Item : FHG001</t>
  </si>
  <si>
    <t>Item : KP943 - Origination - Printing Plates / Cylinder</t>
  </si>
  <si>
    <t>PNA22766</t>
  </si>
  <si>
    <t>PNA22827</t>
  </si>
  <si>
    <t>18-01-2024</t>
  </si>
  <si>
    <t>Total for Item : KP943</t>
  </si>
  <si>
    <t>Item : MOTHEX - Mothex Printed Reel Stock 924mm</t>
  </si>
  <si>
    <t>Total for Item : MOTHEX</t>
  </si>
  <si>
    <t>Item : MOTHEX1 - Mothex 100g Printed Reel Stock 426mm</t>
  </si>
  <si>
    <t>Total for Item : MOTHEX1</t>
  </si>
  <si>
    <t>Item : REN004 - Renew 500ml Print Stock - Original</t>
  </si>
  <si>
    <t>Total for Item : REN004</t>
  </si>
  <si>
    <t>Item : REN005 - Renew 500ml Print Reel - Milk &amp; Honey</t>
  </si>
  <si>
    <t>Total for Item : REN005</t>
  </si>
  <si>
    <t>Item : REN006 - Renew 500ml Print Reel - Complete Care</t>
  </si>
  <si>
    <t>Total for Item : REN006</t>
  </si>
  <si>
    <t>Item : REN007 - Renew 1000ml Print Stock - Original</t>
  </si>
  <si>
    <t>Total for Item : REN007</t>
  </si>
  <si>
    <t>Item : REN008 - Renew 1000ml Print Reel - Milk &amp; Honey</t>
  </si>
  <si>
    <t>Total for Item : REN008</t>
  </si>
  <si>
    <t>Item : REN009 - Renew 1000ml Print Reel - Complete Care</t>
  </si>
  <si>
    <t>Total for Item : REN009</t>
  </si>
  <si>
    <t>Item : ZLE001 - Zeta Labs Esse Dishwa 750ml 604mm 132mic</t>
  </si>
  <si>
    <t>Total for Item : ZLE001</t>
  </si>
  <si>
    <t>Total for Supplier : MTE001 - Mtech SA (Pty) Ltd</t>
  </si>
  <si>
    <t>PNA22533</t>
  </si>
  <si>
    <t>08-09-2023</t>
  </si>
  <si>
    <t>PNA22534</t>
  </si>
  <si>
    <t>11-09-2023</t>
  </si>
  <si>
    <t>PNA22535</t>
  </si>
  <si>
    <t>PNA22542</t>
  </si>
  <si>
    <t>PNA22570</t>
  </si>
  <si>
    <t>22-09-2023</t>
  </si>
  <si>
    <t>PNA22572</t>
  </si>
  <si>
    <t>27-09-2023</t>
  </si>
  <si>
    <t>PNA22728</t>
  </si>
  <si>
    <t>PNA22791</t>
  </si>
  <si>
    <t>07-12-2023</t>
  </si>
  <si>
    <t>PNA22792</t>
  </si>
  <si>
    <t>PNA22793</t>
  </si>
  <si>
    <t>13-12-2023</t>
  </si>
  <si>
    <t>PNA22536</t>
  </si>
  <si>
    <t>PNA22727</t>
  </si>
  <si>
    <t>PNA22749</t>
  </si>
  <si>
    <t>Item : DSB001 - D Spic Bck Pan 110x210x66mm 430mm 110mic</t>
  </si>
  <si>
    <t>PNA22107</t>
  </si>
  <si>
    <t>PNA22222</t>
  </si>
  <si>
    <t>21-04-2023</t>
  </si>
  <si>
    <t>PNA22223</t>
  </si>
  <si>
    <t>24-04-2023</t>
  </si>
  <si>
    <t>PNA22342</t>
  </si>
  <si>
    <t>PNA22554</t>
  </si>
  <si>
    <t>PNA22571</t>
  </si>
  <si>
    <t>26-09-2023</t>
  </si>
  <si>
    <t>PNA22599</t>
  </si>
  <si>
    <t>PNA22627</t>
  </si>
  <si>
    <t>PCA10530</t>
  </si>
  <si>
    <t>Total for Item : DSB001</t>
  </si>
  <si>
    <t>PNA22104</t>
  </si>
  <si>
    <t>PNA22214</t>
  </si>
  <si>
    <t>PNA22340</t>
  </si>
  <si>
    <t>28-06-2023</t>
  </si>
  <si>
    <t>PNA22341</t>
  </si>
  <si>
    <t>PNA22598</t>
  </si>
  <si>
    <t>Item : DSG001 - D Spic Gussets 110x210x66mm 76mm 110mic</t>
  </si>
  <si>
    <t>PNA22215</t>
  </si>
  <si>
    <t>14-04-2023</t>
  </si>
  <si>
    <t>PNA22343</t>
  </si>
  <si>
    <t>PNA22573</t>
  </si>
  <si>
    <t>28-09-2023</t>
  </si>
  <si>
    <t>Total for Item : DSG001</t>
  </si>
  <si>
    <t>PNA22046</t>
  </si>
  <si>
    <t>PNA22052</t>
  </si>
  <si>
    <t>PNA22053</t>
  </si>
  <si>
    <t>30-01-2023</t>
  </si>
  <si>
    <t>PNA22064</t>
  </si>
  <si>
    <t>PNA22082</t>
  </si>
  <si>
    <t>PNA22083</t>
  </si>
  <si>
    <t>PNA22084</t>
  </si>
  <si>
    <t>06-01-2023</t>
  </si>
  <si>
    <t>PNA22085</t>
  </si>
  <si>
    <t>PNA22155</t>
  </si>
  <si>
    <t>PNA22183</t>
  </si>
  <si>
    <t>PNA22274</t>
  </si>
  <si>
    <t>25-05-2023</t>
  </si>
  <si>
    <t>PNA22396</t>
  </si>
  <si>
    <t>19-07-2023</t>
  </si>
  <si>
    <t>PNA22398</t>
  </si>
  <si>
    <t>26-07-2023</t>
  </si>
  <si>
    <t>PNA22399</t>
  </si>
  <si>
    <t>14-07-2023</t>
  </si>
  <si>
    <t>PNA22433</t>
  </si>
  <si>
    <t>24-07-2023</t>
  </si>
  <si>
    <t>PNA22434</t>
  </si>
  <si>
    <t>07-08-2023</t>
  </si>
  <si>
    <t>PNA22508</t>
  </si>
  <si>
    <t>PNA22509</t>
  </si>
  <si>
    <t>PNA22510</t>
  </si>
  <si>
    <t>PNA22511</t>
  </si>
  <si>
    <t>PNA22512</t>
  </si>
  <si>
    <t>PNA22513</t>
  </si>
  <si>
    <t>23-08-2023</t>
  </si>
  <si>
    <t>PNA22514</t>
  </si>
  <si>
    <t>25-08-2023</t>
  </si>
  <si>
    <t>PNA22515</t>
  </si>
  <si>
    <t>PNA22516</t>
  </si>
  <si>
    <t>05-09-2023</t>
  </si>
  <si>
    <t>PNA22517</t>
  </si>
  <si>
    <t>PNA22600</t>
  </si>
  <si>
    <t>PNA22625</t>
  </si>
  <si>
    <t>PNA22626</t>
  </si>
  <si>
    <t>PNA22688</t>
  </si>
  <si>
    <t>13-11-2023</t>
  </si>
  <si>
    <t>PNA22712</t>
  </si>
  <si>
    <t>22-11-2023</t>
  </si>
  <si>
    <t>PNA22713</t>
  </si>
  <si>
    <t>PNA22714</t>
  </si>
  <si>
    <t>24-11-2023</t>
  </si>
  <si>
    <t>PNA22715</t>
  </si>
  <si>
    <t>PNA22729</t>
  </si>
  <si>
    <t>PNA22765</t>
  </si>
  <si>
    <t>05-12-2023</t>
  </si>
  <si>
    <t>PNA22790</t>
  </si>
  <si>
    <t>PNA22815</t>
  </si>
  <si>
    <t>PCA10498</t>
  </si>
  <si>
    <t>Item : FEM007 - Fermented Cherry Chillies Print 482mm</t>
  </si>
  <si>
    <t>Total for Item : FEM007</t>
  </si>
  <si>
    <t>Item : FEM008 - Fermented Kalamata Olives Print 482mm</t>
  </si>
  <si>
    <t>Total for Item : FEM008</t>
  </si>
  <si>
    <t>Item : FEM009 - Fermented Cocktail Gherkins Sw&amp;So 482mm</t>
  </si>
  <si>
    <t>Total for Item : FEM009</t>
  </si>
  <si>
    <t>PNA22062</t>
  </si>
  <si>
    <t>PCA10497</t>
  </si>
  <si>
    <t>07-02-2023</t>
  </si>
  <si>
    <t>PCA10512</t>
  </si>
  <si>
    <t>PCA10505</t>
  </si>
  <si>
    <t>20-04-2023</t>
  </si>
  <si>
    <t>PCA10525</t>
  </si>
  <si>
    <t>PNA22321</t>
  </si>
  <si>
    <t>PNA22546</t>
  </si>
  <si>
    <t>14-09-2023</t>
  </si>
  <si>
    <t>PNA22586</t>
  </si>
  <si>
    <t>11-10-2023</t>
  </si>
  <si>
    <t>PNA22707</t>
  </si>
  <si>
    <t>23-11-2023</t>
  </si>
  <si>
    <t>PCA10526</t>
  </si>
  <si>
    <t>Item : CLOV007 - Clover Print Reels Cheddar Elite 100mic</t>
  </si>
  <si>
    <t>PNA21615</t>
  </si>
  <si>
    <t>04-07-2022</t>
  </si>
  <si>
    <t>PNA21616</t>
  </si>
  <si>
    <t>05-07-2022</t>
  </si>
  <si>
    <t>Total for Item : CLOV007</t>
  </si>
  <si>
    <t>Item : CLOV008 - Clover Print Reels Gouda Elite 100mic</t>
  </si>
  <si>
    <t>Total for Item : CLOV008</t>
  </si>
  <si>
    <t>PNA21510</t>
  </si>
  <si>
    <t>06-05-2022</t>
  </si>
  <si>
    <t>PNA21523</t>
  </si>
  <si>
    <t>11-05-2022</t>
  </si>
  <si>
    <t>PNA21560</t>
  </si>
  <si>
    <t>18-05-2022</t>
  </si>
  <si>
    <t>PNA21561</t>
  </si>
  <si>
    <t>PNA21562</t>
  </si>
  <si>
    <t>PCA10463</t>
  </si>
  <si>
    <t>PNA21524</t>
  </si>
  <si>
    <t>PNA21558</t>
  </si>
  <si>
    <t>19-05-2022</t>
  </si>
  <si>
    <t>PNA21559</t>
  </si>
  <si>
    <t>Item : CPU132 - 12mic Clear PET // 130mic Clear LLDPE</t>
  </si>
  <si>
    <t>PNA21297</t>
  </si>
  <si>
    <t>08-02-2022</t>
  </si>
  <si>
    <t>PNA21314</t>
  </si>
  <si>
    <t>Total for Item : CPU132</t>
  </si>
  <si>
    <t>PNA21652</t>
  </si>
  <si>
    <t>27-07-2022</t>
  </si>
  <si>
    <t>PNA21653</t>
  </si>
  <si>
    <t>28-07-2022</t>
  </si>
  <si>
    <t>PNA21730</t>
  </si>
  <si>
    <t>29-08-2022</t>
  </si>
  <si>
    <t>PNA21731</t>
  </si>
  <si>
    <t>30-08-2022</t>
  </si>
  <si>
    <t>PNA21875</t>
  </si>
  <si>
    <t>26-10-2022</t>
  </si>
  <si>
    <t>PNA21909</t>
  </si>
  <si>
    <t>08-11-2022</t>
  </si>
  <si>
    <t>PNA21729</t>
  </si>
  <si>
    <t>PNA21748</t>
  </si>
  <si>
    <t>14-09-2022</t>
  </si>
  <si>
    <t>PNA21751</t>
  </si>
  <si>
    <t>16-09-2022</t>
  </si>
  <si>
    <t>PNA21870</t>
  </si>
  <si>
    <t>PNA21895</t>
  </si>
  <si>
    <t>PNA21866</t>
  </si>
  <si>
    <t>24-10-2022</t>
  </si>
  <si>
    <t>PNA21900</t>
  </si>
  <si>
    <t>PNA21924</t>
  </si>
  <si>
    <t>16-11-2022</t>
  </si>
  <si>
    <t>PNA21925</t>
  </si>
  <si>
    <t>PNA21934</t>
  </si>
  <si>
    <t>PNA21951</t>
  </si>
  <si>
    <t>PNA21952</t>
  </si>
  <si>
    <t>PNA21953</t>
  </si>
  <si>
    <t>PNA21954</t>
  </si>
  <si>
    <t>PNA21981</t>
  </si>
  <si>
    <t>Item : FEM001 - Fermented Braai Slaai Print 482mm</t>
  </si>
  <si>
    <t>PNA21357</t>
  </si>
  <si>
    <t>Total for Item : FEM001</t>
  </si>
  <si>
    <t>Item : FEM002 - Fermented Crushed Garlic Print 482mm</t>
  </si>
  <si>
    <t>Total for Item : FEM002</t>
  </si>
  <si>
    <t>Item : FEM003 - Fermented Green Jalape Whole Print 482mm</t>
  </si>
  <si>
    <t>Total for Item : FEM003</t>
  </si>
  <si>
    <t>Item : FEM004 - Fermented Green Jalap Sliced Print 482mm</t>
  </si>
  <si>
    <t>Total for Item : FEM004</t>
  </si>
  <si>
    <t>Item : FEM005 - Fermented Jalapeno Sottolio Print 482mm</t>
  </si>
  <si>
    <t>Total for Item : FEM005</t>
  </si>
  <si>
    <t>Item : FEM006 - Fermented Lalapino Nacho Print 482mm</t>
  </si>
  <si>
    <t>Total for Item : FEM006</t>
  </si>
  <si>
    <t>PNA21449</t>
  </si>
  <si>
    <t>PNA21457</t>
  </si>
  <si>
    <t>PNA21633</t>
  </si>
  <si>
    <t>PNA21651</t>
  </si>
  <si>
    <t>PNA21308</t>
  </si>
  <si>
    <t>14-02-2022</t>
  </si>
  <si>
    <t>PNA21310</t>
  </si>
  <si>
    <t>21-02-2022</t>
  </si>
  <si>
    <t>PNA21367</t>
  </si>
  <si>
    <t>PNA21368</t>
  </si>
  <si>
    <t>PNA21429</t>
  </si>
  <si>
    <t>PNA21442</t>
  </si>
  <si>
    <t>PNA21467</t>
  </si>
  <si>
    <t>PNA21481</t>
  </si>
  <si>
    <t>PNA21573</t>
  </si>
  <si>
    <t>PNA21620</t>
  </si>
  <si>
    <t>13-07-2022</t>
  </si>
  <si>
    <t>PNA21626</t>
  </si>
  <si>
    <t>19-07-2022</t>
  </si>
  <si>
    <t>PNA21500</t>
  </si>
  <si>
    <t>PNA21242</t>
  </si>
  <si>
    <t>PNA21678</t>
  </si>
  <si>
    <t>02-08-2022</t>
  </si>
  <si>
    <t>PNA21679</t>
  </si>
  <si>
    <t>PNA21691</t>
  </si>
  <si>
    <t>Item : SCO002 - Seed Co Printed Reel 152mic 668mm Zambia</t>
  </si>
  <si>
    <t>Total for Item : SCO002</t>
  </si>
  <si>
    <t>PNA21575</t>
  </si>
  <si>
    <t>10-06-2022</t>
  </si>
  <si>
    <t>PNA21576</t>
  </si>
  <si>
    <t>Waste Control - 2022</t>
  </si>
  <si>
    <t>Waste Control - 2023</t>
  </si>
  <si>
    <t>Waste Control - 2024</t>
  </si>
  <si>
    <t>Total Cost</t>
  </si>
  <si>
    <t>Total Material Bought</t>
  </si>
  <si>
    <t>Kangopak Internal Inititive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</si>
</sst>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* #,##0_-;\-* #,##0_-;_-* &quot;-&quot;??_-;_-@_-"/>
    <numFmt numFmtId="165" formatCode="_-[$R-1C09]* #,##0.00_-;\-[$R-1C09]* #,##0.00_-;_-[$R-1C09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1" xfId="1" applyNumberFormat="1" applyFont="1" applyBorder="1"/>
    <xf numFmtId="165" fontId="0" fillId="0" borderId="1" xfId="1" applyNumberFormat="1" applyFont="1" applyBorder="1"/>
    <xf numFmtId="0" fontId="0" fillId="0" borderId="2" xfId="0" applyBorder="1"/>
    <xf numFmtId="165" fontId="0" fillId="0" borderId="3" xfId="1" applyNumberFormat="1" applyFont="1" applyBorder="1"/>
    <xf numFmtId="0" fontId="0" fillId="0" borderId="7" xfId="0" applyBorder="1"/>
    <xf numFmtId="164" fontId="2" fillId="0" borderId="8" xfId="1" applyNumberFormat="1" applyFont="1" applyBorder="1"/>
    <xf numFmtId="165" fontId="2" fillId="0" borderId="8" xfId="1" applyNumberFormat="1" applyFont="1" applyBorder="1"/>
    <xf numFmtId="165" fontId="2" fillId="0" borderId="9" xfId="1" applyNumberFormat="1" applyFont="1" applyBorder="1"/>
    <xf numFmtId="44" fontId="0" fillId="0" borderId="1" xfId="2" applyFont="1" applyBorder="1"/>
    <xf numFmtId="164" fontId="0" fillId="0" borderId="5" xfId="1" applyNumberFormat="1" applyFont="1" applyBorder="1"/>
    <xf numFmtId="0" fontId="0" fillId="0" borderId="0" xfId="0" quotePrefix="1"/>
    <xf numFmtId="43" fontId="0" fillId="0" borderId="0" xfId="1" applyFont="1"/>
    <xf numFmtId="43" fontId="2" fillId="2" borderId="10" xfId="1" applyFont="1" applyFill="1" applyBorder="1"/>
    <xf numFmtId="44" fontId="0" fillId="0" borderId="5" xfId="2" applyFont="1" applyBorder="1"/>
    <xf numFmtId="0" fontId="2" fillId="0" borderId="10" xfId="0" applyFont="1" applyBorder="1"/>
    <xf numFmtId="44" fontId="2" fillId="0" borderId="8" xfId="2" applyFont="1" applyBorder="1"/>
    <xf numFmtId="43" fontId="2" fillId="0" borderId="10" xfId="1" applyFont="1" applyBorder="1"/>
    <xf numFmtId="164" fontId="2" fillId="0" borderId="10" xfId="1" applyNumberFormat="1" applyFont="1" applyBorder="1"/>
    <xf numFmtId="165" fontId="2" fillId="2" borderId="9" xfId="1" applyNumberFormat="1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4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-1C09]* #,##0.00_-;\-[$R-1C09]* #,##0.00_-;_-[$R-1C09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-1C09]* #,##0.00_-;\-[$R-1C09]* #,##0.00_-;_-[$R-1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-1C09]* #,##0.00_-;\-[$R-1C09]* #,##0.00_-;_-[$R-1C09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-1C09]* #,##0.00_-;\-[$R-1C09]* #,##0.00_-;_-[$R-1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-1C09]* #,##0.00_-;\-[$R-1C09]* #,##0.00_-;_-[$R-1C09]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-1C09]* #,##0.00_-;\-[$R-1C09]* #,##0.00_-;_-[$R-1C09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R-1C09]* #,##0.00_-;\-[$R-1C09]* #,##0.00_-;_-[$R-1C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5F879-4716-4B1F-850C-83960919775B}" name="Table1" displayName="Table1" ref="A7:F12" totalsRowShown="0" headerRowDxfId="3" dataDxfId="42" headerRowBorderDxfId="43" tableBorderDxfId="41" totalsRowBorderDxfId="40" dataCellStyle="Comma">
  <autoFilter ref="A7:F12" xr:uid="{3375F879-4716-4B1F-850C-83960919775B}"/>
  <tableColumns count="6">
    <tableColumn id="1" xr3:uid="{3768AE0F-0906-496E-8B64-C934EA136CE0}" name="01/01/2023 - 31/12/2023" dataDxfId="39"/>
    <tableColumn id="2" xr3:uid="{C9310643-7DFD-47B8-8B4D-815DE6311820}" name="Period Quantity" dataDxfId="38" dataCellStyle="Comma"/>
    <tableColumn id="3" xr3:uid="{CDC06019-AC05-4F4E-89B5-F458624459E5}" name="Number of Months" dataDxfId="37" dataCellStyle="Comma"/>
    <tableColumn id="4" xr3:uid="{4794E1D4-5E76-4730-BD44-E62FD0D22E7A}" name="Quantity per Month" dataDxfId="36" dataCellStyle="Comma"/>
    <tableColumn id="5" xr3:uid="{48E6B12A-D1AB-4BE0-AE4E-8DD00530BE43}" name="Fee per Ton" dataDxfId="35" dataCellStyle="Comma"/>
    <tableColumn id="6" xr3:uid="{115713E0-E5A8-4950-8EF2-D34C537CE62C}" name="Fee Payable" dataDxfId="34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8CF364-8A09-4809-AC8F-79B899196E6F}" name="Table13" displayName="Table13" ref="A21:F25" totalsRowShown="0" headerRowDxfId="2" dataDxfId="32" headerRowBorderDxfId="33" tableBorderDxfId="31" totalsRowBorderDxfId="30" dataCellStyle="Comma">
  <autoFilter ref="A21:F25" xr:uid="{608CF364-8A09-4809-AC8F-79B899196E6F}"/>
  <tableColumns count="6">
    <tableColumn id="1" xr3:uid="{9D3483CE-33F4-45FE-B80C-DB9E7B7F3995}" name="Kangopak Internal Inititive" dataDxfId="29"/>
    <tableColumn id="2" xr3:uid="{3D87661B-B449-4ACA-B127-9BCA9699E54A}" name="Period Cost" dataDxfId="28" dataCellStyle="Comma"/>
    <tableColumn id="3" xr3:uid="{F96E26DC-F295-48E2-9233-5182587067D7}" name="Number of Months" dataDxfId="27" dataCellStyle="Comma"/>
    <tableColumn id="7" xr3:uid="{2FA44B01-EE75-442B-BFFF-67D777ECED02}" name="Column3" dataDxfId="26" dataCellStyle="Comma"/>
    <tableColumn id="4" xr3:uid="{BBBC8B95-B462-4D41-A4BE-292F65A6296B}" name="Cost per Month" dataDxfId="25" dataCellStyle="Comma"/>
    <tableColumn id="6" xr3:uid="{6F2C69A4-F688-405C-B829-8ECBDA9E7EAB}" name="Total Cost" dataDxfId="24" dataCellStyle="Comm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E402F-C78A-4719-971B-C712AA2B600F}" name="Table14" displayName="Table14" ref="A14:F18" totalsRowShown="0" headerRowDxfId="1" dataDxfId="22" headerRowBorderDxfId="23" tableBorderDxfId="21" totalsRowBorderDxfId="20" dataCellStyle="Comma">
  <autoFilter ref="A14:F18" xr:uid="{1B6E402F-C78A-4719-971B-C712AA2B600F}"/>
  <tableColumns count="6">
    <tableColumn id="1" xr3:uid="{063694DF-B729-4F6A-9B1B-0E6CB041063C}" name="01/01/2022 - 31/12/2022" dataDxfId="19"/>
    <tableColumn id="2" xr3:uid="{28816C29-2182-4EB5-A90D-D59CF8AA2FD1}" name="Period Quantity" dataDxfId="18" dataCellStyle="Comma"/>
    <tableColumn id="3" xr3:uid="{42D59B2C-848E-49CA-970D-0C9535D2339C}" name="Number of Months" dataDxfId="17" dataCellStyle="Comma"/>
    <tableColumn id="4" xr3:uid="{D9E63937-3BF9-4AAC-95F2-55DEEC2863DF}" name="Quantity per Month" dataDxfId="16" dataCellStyle="Comma"/>
    <tableColumn id="5" xr3:uid="{74E7C925-31D8-4B65-BCA8-5050EBDB8CE7}" name="Fee per Ton" dataDxfId="15" dataCellStyle="Comma"/>
    <tableColumn id="6" xr3:uid="{A87F476F-9AFD-41A3-BC12-DA961BB71B1C}" name="Fee Payable" dataDxfId="14" dataCellStyle="Comm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E84BC3-C375-43EF-B9DF-05A098AFCD92}" name="Table15" displayName="Table15" ref="A1:F5" totalsRowShown="0" headerRowDxfId="0" dataDxfId="12" headerRowBorderDxfId="13" tableBorderDxfId="11" totalsRowBorderDxfId="10" dataCellStyle="Comma">
  <autoFilter ref="A1:F5" xr:uid="{ABE84BC3-C375-43EF-B9DF-05A098AFCD92}"/>
  <tableColumns count="6">
    <tableColumn id="1" xr3:uid="{D75FA384-1397-4E5E-A4C1-569350DE3B91}" name="01/01/2024 - 31/05/2024" dataDxfId="9"/>
    <tableColumn id="2" xr3:uid="{97334B13-9C3F-434A-9F0C-9D630FF91D5E}" name="Period Quantity" dataDxfId="8" dataCellStyle="Comma"/>
    <tableColumn id="3" xr3:uid="{4A7B6051-98B6-45D9-8B2E-3767BC473156}" name="Number of Months" dataDxfId="7" dataCellStyle="Comma"/>
    <tableColumn id="4" xr3:uid="{EC457CD7-B3AE-438F-83FE-473031E0920C}" name="Quantity per Month" dataDxfId="6" dataCellStyle="Comma"/>
    <tableColumn id="5" xr3:uid="{3384EBCE-2878-4F06-A0F0-D85E90B78CDD}" name="Fee per Ton" dataDxfId="5" dataCellStyle="Comma"/>
    <tableColumn id="6" xr3:uid="{A6D202B4-B3A6-4BD9-8C4D-FF81188E805F}" name="Fee Payable" dataDxfId="4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4238-03F7-4518-ABBF-3A48342F5CC8}">
  <dimension ref="A1:F29"/>
  <sheetViews>
    <sheetView tabSelected="1" zoomScaleNormal="100" workbookViewId="0">
      <selection activeCell="F5" activeCellId="2" sqref="F18 F11 F5"/>
    </sheetView>
  </sheetViews>
  <sheetFormatPr defaultRowHeight="15" x14ac:dyDescent="0.25"/>
  <cols>
    <col min="1" max="1" width="34.140625" customWidth="1"/>
    <col min="2" max="2" width="17.42578125" bestFit="1" customWidth="1"/>
    <col min="3" max="3" width="20.28515625" bestFit="1" customWidth="1"/>
    <col min="4" max="5" width="25.7109375" bestFit="1" customWidth="1"/>
    <col min="6" max="6" width="14" bestFit="1" customWidth="1"/>
    <col min="7" max="7" width="17.28515625" bestFit="1" customWidth="1"/>
  </cols>
  <sheetData>
    <row r="1" spans="1:6" x14ac:dyDescent="0.25">
      <c r="A1" s="20" t="s">
        <v>739</v>
      </c>
      <c r="B1" s="21" t="s">
        <v>2</v>
      </c>
      <c r="C1" s="21" t="s">
        <v>3</v>
      </c>
      <c r="D1" s="21" t="s">
        <v>4</v>
      </c>
      <c r="E1" s="21" t="s">
        <v>5</v>
      </c>
      <c r="F1" s="22" t="s">
        <v>6</v>
      </c>
    </row>
    <row r="2" spans="1:6" x14ac:dyDescent="0.25">
      <c r="A2" s="3" t="s">
        <v>0</v>
      </c>
      <c r="B2" s="1">
        <f>'Liqui Box - Usage 2024'!B4</f>
        <v>69988</v>
      </c>
      <c r="C2" s="1">
        <v>5</v>
      </c>
      <c r="D2" s="1">
        <f>B2/C2</f>
        <v>13997.6</v>
      </c>
      <c r="E2" s="2">
        <v>750</v>
      </c>
      <c r="F2" s="4">
        <f>Table15[[#This Row],[Period Quantity]]*Table15[[#This Row],[Fee per Ton]]/1000</f>
        <v>52491</v>
      </c>
    </row>
    <row r="3" spans="1:6" x14ac:dyDescent="0.25">
      <c r="A3" s="3" t="s">
        <v>1</v>
      </c>
      <c r="B3" s="1">
        <f>'MTech - Usage 2024'!B4</f>
        <v>46</v>
      </c>
      <c r="C3" s="1">
        <v>5</v>
      </c>
      <c r="D3" s="1">
        <f>B3/C3</f>
        <v>9.1999999999999993</v>
      </c>
      <c r="E3" s="2">
        <v>750</v>
      </c>
      <c r="F3" s="4">
        <f>Table15[[#This Row],[Period Quantity]]*Table15[[#This Row],[Fee per Ton]]/1000</f>
        <v>34.5</v>
      </c>
    </row>
    <row r="4" spans="1:6" x14ac:dyDescent="0.25">
      <c r="A4" s="3" t="s">
        <v>7</v>
      </c>
      <c r="B4" s="1">
        <v>718</v>
      </c>
      <c r="C4" s="1">
        <v>5</v>
      </c>
      <c r="D4" s="1">
        <f>B4/C4</f>
        <v>143.6</v>
      </c>
      <c r="E4" s="2">
        <v>750</v>
      </c>
      <c r="F4" s="4">
        <f>Table15[[#This Row],[Period Quantity]]*Table15[[#This Row],[Fee per Ton]]/1000</f>
        <v>538.5</v>
      </c>
    </row>
    <row r="5" spans="1:6" x14ac:dyDescent="0.25">
      <c r="A5" s="5"/>
      <c r="B5" s="6">
        <f>SUM(B2:B4)</f>
        <v>70752</v>
      </c>
      <c r="D5" s="6">
        <f>SUM(D2:D4)</f>
        <v>14150.400000000001</v>
      </c>
      <c r="F5" s="19">
        <f>SUM(F2:F4)</f>
        <v>53064</v>
      </c>
    </row>
    <row r="7" spans="1:6" x14ac:dyDescent="0.25">
      <c r="A7" s="20" t="s">
        <v>11</v>
      </c>
      <c r="B7" s="21" t="s">
        <v>2</v>
      </c>
      <c r="C7" s="21" t="s">
        <v>3</v>
      </c>
      <c r="D7" s="21" t="s">
        <v>4</v>
      </c>
      <c r="E7" s="21" t="s">
        <v>5</v>
      </c>
      <c r="F7" s="22" t="s">
        <v>6</v>
      </c>
    </row>
    <row r="8" spans="1:6" x14ac:dyDescent="0.25">
      <c r="A8" s="3" t="s">
        <v>0</v>
      </c>
      <c r="B8" s="1">
        <f>'Liqui Box - Usage 2023'!B4</f>
        <v>222835.5</v>
      </c>
      <c r="C8" s="1">
        <v>12</v>
      </c>
      <c r="D8" s="1">
        <f>B8/C8</f>
        <v>18569.625</v>
      </c>
      <c r="E8" s="2">
        <v>750</v>
      </c>
      <c r="F8" s="4">
        <f>Table1[[#This Row],[Period Quantity]]*Table1[[#This Row],[Fee per Ton]]/1000</f>
        <v>167126.625</v>
      </c>
    </row>
    <row r="9" spans="1:6" x14ac:dyDescent="0.25">
      <c r="A9" s="3" t="s">
        <v>1</v>
      </c>
      <c r="B9" s="1">
        <f>'MTech - Usage 2023'!B4</f>
        <v>-3228.5</v>
      </c>
      <c r="C9" s="1">
        <v>12</v>
      </c>
      <c r="D9" s="1">
        <f>B9/C9</f>
        <v>-269.04166666666669</v>
      </c>
      <c r="E9" s="2">
        <v>750</v>
      </c>
      <c r="F9" s="4">
        <f>Table1[[#This Row],[Period Quantity]]*Table1[[#This Row],[Fee per Ton]]/1000</f>
        <v>-2421.375</v>
      </c>
    </row>
    <row r="10" spans="1:6" x14ac:dyDescent="0.25">
      <c r="A10" s="3" t="s">
        <v>7</v>
      </c>
      <c r="B10" s="1">
        <v>2123</v>
      </c>
      <c r="C10" s="1">
        <v>12</v>
      </c>
      <c r="D10" s="1">
        <f>B10/C10</f>
        <v>176.91666666666666</v>
      </c>
      <c r="E10" s="2">
        <v>750</v>
      </c>
      <c r="F10" s="4">
        <f>Table1[[#This Row],[Period Quantity]]*Table1[[#This Row],[Fee per Ton]]/1000</f>
        <v>1592.25</v>
      </c>
    </row>
    <row r="11" spans="1:6" x14ac:dyDescent="0.25">
      <c r="A11" s="5"/>
      <c r="B11" s="6">
        <f>SUM(B8:B10)</f>
        <v>221730</v>
      </c>
      <c r="D11" s="6">
        <f>SUM(D8:D10)</f>
        <v>18477.5</v>
      </c>
      <c r="F11" s="19">
        <f>SUM(F8:F10)</f>
        <v>166297.5</v>
      </c>
    </row>
    <row r="12" spans="1:6" x14ac:dyDescent="0.25">
      <c r="A12" s="3"/>
      <c r="B12" s="1"/>
      <c r="C12" s="1"/>
      <c r="D12" s="1"/>
      <c r="E12" s="2"/>
      <c r="F12" s="4"/>
    </row>
    <row r="14" spans="1:6" x14ac:dyDescent="0.25">
      <c r="A14" s="20" t="s">
        <v>10</v>
      </c>
      <c r="B14" s="21" t="s">
        <v>2</v>
      </c>
      <c r="C14" s="21" t="s">
        <v>3</v>
      </c>
      <c r="D14" s="21" t="s">
        <v>4</v>
      </c>
      <c r="E14" s="21" t="s">
        <v>5</v>
      </c>
      <c r="F14" s="22" t="s">
        <v>6</v>
      </c>
    </row>
    <row r="15" spans="1:6" x14ac:dyDescent="0.25">
      <c r="A15" s="3" t="s">
        <v>0</v>
      </c>
      <c r="B15" s="1">
        <f>'Liqui Box - Usage 2022'!B4</f>
        <v>192386.92</v>
      </c>
      <c r="C15" s="1">
        <v>12</v>
      </c>
      <c r="D15" s="1">
        <f>B15/C15</f>
        <v>16032.243333333334</v>
      </c>
      <c r="E15" s="2">
        <v>750</v>
      </c>
      <c r="F15" s="4">
        <f>Table14[[#This Row],[Period Quantity]]*Table14[[#This Row],[Fee per Ton]]/1000</f>
        <v>144290.19</v>
      </c>
    </row>
    <row r="16" spans="1:6" x14ac:dyDescent="0.25">
      <c r="A16" s="3" t="s">
        <v>1</v>
      </c>
      <c r="B16" s="1">
        <f>'MTech - Usage 2022'!B4</f>
        <v>84720</v>
      </c>
      <c r="C16" s="1">
        <v>12</v>
      </c>
      <c r="D16" s="1">
        <f>B16/C16</f>
        <v>7060</v>
      </c>
      <c r="E16" s="2">
        <v>750</v>
      </c>
      <c r="F16" s="4">
        <f>Table14[[#This Row],[Period Quantity]]*Table14[[#This Row],[Fee per Ton]]/1000</f>
        <v>63540</v>
      </c>
    </row>
    <row r="17" spans="1:6" x14ac:dyDescent="0.25">
      <c r="A17" s="3" t="s">
        <v>7</v>
      </c>
      <c r="B17" s="1">
        <v>1793</v>
      </c>
      <c r="C17" s="1">
        <v>12</v>
      </c>
      <c r="D17" s="1">
        <f>B17/C17</f>
        <v>149.41666666666666</v>
      </c>
      <c r="E17" s="2">
        <v>750</v>
      </c>
      <c r="F17" s="4">
        <f>Table14[[#This Row],[Period Quantity]]*Table14[[#This Row],[Fee per Ton]]/1000</f>
        <v>1344.75</v>
      </c>
    </row>
    <row r="18" spans="1:6" x14ac:dyDescent="0.25">
      <c r="A18" s="5"/>
      <c r="B18" s="6">
        <f>SUM(B15:B17)</f>
        <v>278899.92000000004</v>
      </c>
      <c r="D18" s="6">
        <f>SUM(D15:D17)</f>
        <v>23241.66</v>
      </c>
      <c r="F18" s="8">
        <f>SUM(F15:F17)</f>
        <v>209174.94</v>
      </c>
    </row>
    <row r="20" spans="1:6" ht="15.75" hidden="1" thickBot="1" x14ac:dyDescent="0.3">
      <c r="B20" s="18">
        <f>SUM(B5,B11,B18)</f>
        <v>571381.92000000004</v>
      </c>
    </row>
    <row r="21" spans="1:6" x14ac:dyDescent="0.25">
      <c r="A21" s="20" t="s">
        <v>1043</v>
      </c>
      <c r="B21" s="21" t="s">
        <v>8</v>
      </c>
      <c r="C21" s="21" t="s">
        <v>3</v>
      </c>
      <c r="D21" s="21" t="s">
        <v>740</v>
      </c>
      <c r="E21" s="21" t="s">
        <v>9</v>
      </c>
      <c r="F21" s="21" t="s">
        <v>1041</v>
      </c>
    </row>
    <row r="22" spans="1:6" x14ac:dyDescent="0.25">
      <c r="A22" s="3" t="s">
        <v>1038</v>
      </c>
      <c r="B22" s="9">
        <v>103167.8</v>
      </c>
      <c r="C22" s="1">
        <v>12</v>
      </c>
      <c r="D22" s="10"/>
      <c r="E22" s="14">
        <f>Table13[[#This Row],[Period Cost]]/Table13[[#This Row],[Number of Months]]</f>
        <v>8597.3166666666675</v>
      </c>
      <c r="F22" s="2">
        <f>Table13[[#This Row],[Period Cost]]</f>
        <v>103167.8</v>
      </c>
    </row>
    <row r="23" spans="1:6" x14ac:dyDescent="0.25">
      <c r="A23" s="3" t="s">
        <v>1039</v>
      </c>
      <c r="B23" s="9">
        <v>103689.48</v>
      </c>
      <c r="C23" s="1">
        <v>12</v>
      </c>
      <c r="D23" s="1"/>
      <c r="E23" s="14">
        <f>Table13[[#This Row],[Period Cost]]/Table13[[#This Row],[Number of Months]]</f>
        <v>8640.7899999999991</v>
      </c>
      <c r="F23" s="2">
        <f>Table13[[#This Row],[Period Cost]]</f>
        <v>103689.48</v>
      </c>
    </row>
    <row r="24" spans="1:6" x14ac:dyDescent="0.25">
      <c r="A24" s="3" t="s">
        <v>1040</v>
      </c>
      <c r="B24" s="9">
        <v>56859.606</v>
      </c>
      <c r="C24" s="1">
        <v>5</v>
      </c>
      <c r="D24" s="1"/>
      <c r="E24" s="14">
        <f>Table13[[#This Row],[Period Cost]]/Table13[[#This Row],[Number of Months]]</f>
        <v>11371.921200000001</v>
      </c>
      <c r="F24" s="2">
        <f>Table13[[#This Row],[Period Cost]]</f>
        <v>56859.606</v>
      </c>
    </row>
    <row r="25" spans="1:6" x14ac:dyDescent="0.25">
      <c r="A25" s="5"/>
      <c r="B25" s="16">
        <f>SUM(B22:B24)</f>
        <v>263716.886</v>
      </c>
      <c r="F25" s="7">
        <f>SUM(F22:F24)</f>
        <v>263716.886</v>
      </c>
    </row>
    <row r="27" spans="1:6" hidden="1" x14ac:dyDescent="0.25"/>
    <row r="28" spans="1:6" ht="15.75" hidden="1" thickBot="1" x14ac:dyDescent="0.3">
      <c r="A28" s="15" t="s">
        <v>1042</v>
      </c>
      <c r="B28" s="17">
        <f>SUM('Liqui Box - Usage 2024'!B1,'Liqui Box - Usage 2023'!B1,'MTech - Usage 2024'!B1,'MTech - Usage 2023'!B1)</f>
        <v>486745</v>
      </c>
    </row>
    <row r="29" spans="1:6" hidden="1" x14ac:dyDescent="0.25"/>
  </sheetData>
  <pageMargins left="0.7" right="0.7" top="0.75" bottom="0.75" header="0.3" footer="0.3"/>
  <pageSetup paperSize="9" scale="72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0C4D-93E3-46E1-97B0-17351D07ED31}">
  <dimension ref="A1:F191"/>
  <sheetViews>
    <sheetView workbookViewId="0">
      <selection activeCell="J17" sqref="J17"/>
    </sheetView>
  </sheetViews>
  <sheetFormatPr defaultRowHeight="15" x14ac:dyDescent="0.25"/>
  <cols>
    <col min="1" max="1" width="53.85546875" bestFit="1" customWidth="1"/>
    <col min="2" max="2" width="11.42578125" bestFit="1" customWidth="1"/>
    <col min="3" max="4" width="12" bestFit="1" customWidth="1"/>
    <col min="5" max="5" width="8.85546875" bestFit="1" customWidth="1"/>
    <col min="6" max="6" width="11" bestFit="1" customWidth="1"/>
  </cols>
  <sheetData>
    <row r="1" spans="1:6" x14ac:dyDescent="0.25">
      <c r="A1" t="s">
        <v>737</v>
      </c>
      <c r="B1" s="12">
        <f>SUM(B34,B39,B42,B52,B55,B59,B71,B82,B90,B94,B159,B162,B167,B189)</f>
        <v>101936.5</v>
      </c>
    </row>
    <row r="2" spans="1:6" x14ac:dyDescent="0.25">
      <c r="A2" t="s">
        <v>342</v>
      </c>
      <c r="B2" s="12">
        <v>0</v>
      </c>
    </row>
    <row r="3" spans="1:6" x14ac:dyDescent="0.25">
      <c r="A3" t="s">
        <v>738</v>
      </c>
      <c r="B3" s="12">
        <f>-B189</f>
        <v>-31948.5</v>
      </c>
    </row>
    <row r="4" spans="1:6" ht="15.75" thickBot="1" x14ac:dyDescent="0.3">
      <c r="A4" t="s">
        <v>341</v>
      </c>
      <c r="B4" s="13">
        <f>SUM(B1:B3)</f>
        <v>69988</v>
      </c>
    </row>
    <row r="5" spans="1:6" ht="15.75" thickTop="1" x14ac:dyDescent="0.25"/>
    <row r="6" spans="1:6" x14ac:dyDescent="0.25">
      <c r="A6" s="11" t="s">
        <v>12</v>
      </c>
    </row>
    <row r="7" spans="1:6" x14ac:dyDescent="0.25">
      <c r="A7" s="11" t="s">
        <v>624</v>
      </c>
    </row>
    <row r="8" spans="1:6" x14ac:dyDescent="0.25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 t="s">
        <v>19</v>
      </c>
    </row>
    <row r="9" spans="1:6" x14ac:dyDescent="0.25">
      <c r="A9" s="11" t="s">
        <v>20</v>
      </c>
    </row>
    <row r="10" spans="1:6" x14ac:dyDescent="0.25">
      <c r="A10" s="11" t="s">
        <v>344</v>
      </c>
    </row>
    <row r="11" spans="1:6" x14ac:dyDescent="0.25">
      <c r="A11" s="11" t="s">
        <v>14</v>
      </c>
      <c r="B11" s="11" t="s">
        <v>625</v>
      </c>
      <c r="C11" s="11" t="s">
        <v>626</v>
      </c>
      <c r="D11" s="11" t="s">
        <v>14</v>
      </c>
      <c r="E11" s="11" t="s">
        <v>14</v>
      </c>
      <c r="F11">
        <v>4.05</v>
      </c>
    </row>
    <row r="12" spans="1:6" x14ac:dyDescent="0.25">
      <c r="A12" s="11" t="s">
        <v>350</v>
      </c>
      <c r="B12" s="11" t="s">
        <v>14</v>
      </c>
      <c r="C12" s="11" t="s">
        <v>14</v>
      </c>
      <c r="D12">
        <v>4.05</v>
      </c>
    </row>
    <row r="13" spans="1:6" x14ac:dyDescent="0.25">
      <c r="A13" s="11" t="s">
        <v>627</v>
      </c>
    </row>
    <row r="14" spans="1:6" x14ac:dyDescent="0.25">
      <c r="A14" s="11" t="s">
        <v>14</v>
      </c>
      <c r="B14" s="11" t="s">
        <v>628</v>
      </c>
      <c r="C14" s="11" t="s">
        <v>629</v>
      </c>
      <c r="D14" s="11" t="s">
        <v>14</v>
      </c>
      <c r="E14" s="11" t="s">
        <v>14</v>
      </c>
      <c r="F14">
        <v>5.0000000000000001E-3</v>
      </c>
    </row>
    <row r="15" spans="1:6" x14ac:dyDescent="0.25">
      <c r="A15" s="11" t="s">
        <v>14</v>
      </c>
      <c r="B15" s="11" t="s">
        <v>630</v>
      </c>
      <c r="C15" s="11" t="s">
        <v>631</v>
      </c>
      <c r="D15" s="11" t="s">
        <v>14</v>
      </c>
      <c r="E15" s="11" t="s">
        <v>14</v>
      </c>
      <c r="F15">
        <v>3.0000000000000001E-3</v>
      </c>
    </row>
    <row r="16" spans="1:6" x14ac:dyDescent="0.25">
      <c r="A16" s="11" t="s">
        <v>14</v>
      </c>
      <c r="B16" s="11" t="s">
        <v>632</v>
      </c>
      <c r="C16" s="11" t="s">
        <v>633</v>
      </c>
      <c r="D16" s="11" t="s">
        <v>14</v>
      </c>
      <c r="E16" s="11" t="s">
        <v>14</v>
      </c>
      <c r="F16">
        <v>-1E-3</v>
      </c>
    </row>
    <row r="17" spans="1:6" x14ac:dyDescent="0.25">
      <c r="A17" s="11" t="s">
        <v>14</v>
      </c>
      <c r="B17" s="11" t="s">
        <v>634</v>
      </c>
      <c r="C17" s="11" t="s">
        <v>635</v>
      </c>
      <c r="D17" s="11" t="s">
        <v>14</v>
      </c>
      <c r="E17" s="11" t="s">
        <v>14</v>
      </c>
      <c r="F17">
        <v>-1E-3</v>
      </c>
    </row>
    <row r="18" spans="1:6" x14ac:dyDescent="0.25">
      <c r="A18" s="11" t="s">
        <v>14</v>
      </c>
      <c r="B18" s="11" t="s">
        <v>636</v>
      </c>
      <c r="C18" s="11" t="s">
        <v>635</v>
      </c>
      <c r="D18" s="11" t="s">
        <v>14</v>
      </c>
      <c r="E18" s="11" t="s">
        <v>14</v>
      </c>
      <c r="F18">
        <v>2E-3</v>
      </c>
    </row>
    <row r="19" spans="1:6" x14ac:dyDescent="0.25">
      <c r="A19" s="11" t="s">
        <v>14</v>
      </c>
      <c r="B19" s="11" t="s">
        <v>637</v>
      </c>
      <c r="C19" s="11" t="s">
        <v>638</v>
      </c>
      <c r="D19" s="11" t="s">
        <v>14</v>
      </c>
      <c r="E19" s="11" t="s">
        <v>14</v>
      </c>
      <c r="F19">
        <v>0.01</v>
      </c>
    </row>
    <row r="20" spans="1:6" x14ac:dyDescent="0.25">
      <c r="A20" s="11" t="s">
        <v>14</v>
      </c>
      <c r="B20" s="11" t="s">
        <v>639</v>
      </c>
      <c r="C20" s="11" t="s">
        <v>638</v>
      </c>
      <c r="D20" s="11" t="s">
        <v>14</v>
      </c>
      <c r="E20" s="11" t="s">
        <v>14</v>
      </c>
      <c r="F20">
        <v>-5.0000000000000001E-3</v>
      </c>
    </row>
    <row r="21" spans="1:6" x14ac:dyDescent="0.25">
      <c r="A21" s="11" t="s">
        <v>14</v>
      </c>
      <c r="B21" s="11" t="s">
        <v>640</v>
      </c>
      <c r="C21" s="11" t="s">
        <v>635</v>
      </c>
      <c r="D21" s="11" t="s">
        <v>14</v>
      </c>
      <c r="E21" s="11" t="s">
        <v>14</v>
      </c>
      <c r="F21">
        <v>-4.0000000000000001E-3</v>
      </c>
    </row>
    <row r="22" spans="1:6" x14ac:dyDescent="0.25">
      <c r="A22" s="11" t="s">
        <v>14</v>
      </c>
      <c r="B22" s="11" t="s">
        <v>641</v>
      </c>
      <c r="C22" s="11" t="s">
        <v>642</v>
      </c>
      <c r="D22" s="11" t="s">
        <v>14</v>
      </c>
      <c r="E22" s="11" t="s">
        <v>14</v>
      </c>
      <c r="F22">
        <v>5.0000000000000001E-3</v>
      </c>
    </row>
    <row r="23" spans="1:6" x14ac:dyDescent="0.25">
      <c r="A23" s="11" t="s">
        <v>14</v>
      </c>
      <c r="B23" s="11" t="s">
        <v>643</v>
      </c>
      <c r="C23" s="11" t="s">
        <v>644</v>
      </c>
      <c r="D23" s="11" t="s">
        <v>14</v>
      </c>
      <c r="E23" s="11" t="s">
        <v>14</v>
      </c>
      <c r="F23">
        <v>5.0000000000000001E-3</v>
      </c>
    </row>
    <row r="24" spans="1:6" x14ac:dyDescent="0.25">
      <c r="A24" s="11" t="s">
        <v>14</v>
      </c>
      <c r="B24" s="11" t="s">
        <v>645</v>
      </c>
      <c r="C24" s="11" t="s">
        <v>646</v>
      </c>
      <c r="D24" s="11" t="s">
        <v>14</v>
      </c>
      <c r="E24" s="11" t="s">
        <v>14</v>
      </c>
      <c r="F24">
        <v>5.0000000000000001E-3</v>
      </c>
    </row>
    <row r="25" spans="1:6" x14ac:dyDescent="0.25">
      <c r="A25" s="11" t="s">
        <v>14</v>
      </c>
      <c r="B25" s="11" t="s">
        <v>647</v>
      </c>
      <c r="C25" s="11" t="s">
        <v>648</v>
      </c>
      <c r="D25" s="11" t="s">
        <v>14</v>
      </c>
      <c r="E25" s="11" t="s">
        <v>14</v>
      </c>
      <c r="F25">
        <v>8.9999999999999993E-3</v>
      </c>
    </row>
    <row r="26" spans="1:6" x14ac:dyDescent="0.25">
      <c r="A26" s="11" t="s">
        <v>14</v>
      </c>
      <c r="B26" s="11" t="s">
        <v>649</v>
      </c>
      <c r="C26" s="11" t="s">
        <v>650</v>
      </c>
      <c r="D26" s="11" t="s">
        <v>14</v>
      </c>
      <c r="E26" s="11" t="s">
        <v>14</v>
      </c>
      <c r="F26">
        <v>-4.0000000000000001E-3</v>
      </c>
    </row>
    <row r="27" spans="1:6" x14ac:dyDescent="0.25">
      <c r="A27" s="11" t="s">
        <v>651</v>
      </c>
      <c r="B27" s="11" t="s">
        <v>14</v>
      </c>
      <c r="C27" s="11" t="s">
        <v>14</v>
      </c>
      <c r="D27">
        <v>2.9000000000000001E-2</v>
      </c>
    </row>
    <row r="28" spans="1:6" x14ac:dyDescent="0.25">
      <c r="A28" s="11" t="s">
        <v>21</v>
      </c>
    </row>
    <row r="29" spans="1:6" x14ac:dyDescent="0.25">
      <c r="A29" s="11" t="s">
        <v>14</v>
      </c>
      <c r="B29" s="11" t="s">
        <v>652</v>
      </c>
      <c r="C29" s="11" t="s">
        <v>653</v>
      </c>
      <c r="D29" s="11" t="s">
        <v>14</v>
      </c>
      <c r="E29" s="11" t="s">
        <v>14</v>
      </c>
      <c r="F29">
        <v>-1E-3</v>
      </c>
    </row>
    <row r="30" spans="1:6" x14ac:dyDescent="0.25">
      <c r="A30" s="11" t="s">
        <v>14</v>
      </c>
      <c r="B30" s="11" t="s">
        <v>654</v>
      </c>
      <c r="C30" s="11" t="s">
        <v>653</v>
      </c>
      <c r="D30" s="11" t="s">
        <v>14</v>
      </c>
      <c r="E30" s="11" t="s">
        <v>14</v>
      </c>
      <c r="F30">
        <v>2E-3</v>
      </c>
    </row>
    <row r="31" spans="1:6" x14ac:dyDescent="0.25">
      <c r="A31" s="11" t="s">
        <v>24</v>
      </c>
      <c r="B31" s="11" t="s">
        <v>14</v>
      </c>
      <c r="C31" s="11" t="s">
        <v>14</v>
      </c>
      <c r="D31">
        <v>1E-3</v>
      </c>
    </row>
    <row r="32" spans="1:6" x14ac:dyDescent="0.25">
      <c r="A32" s="11" t="s">
        <v>655</v>
      </c>
    </row>
    <row r="33" spans="1:6" x14ac:dyDescent="0.25">
      <c r="A33" s="11" t="s">
        <v>14</v>
      </c>
      <c r="B33" s="11" t="s">
        <v>645</v>
      </c>
      <c r="C33" s="11" t="s">
        <v>646</v>
      </c>
      <c r="D33">
        <v>510</v>
      </c>
      <c r="E33">
        <v>90.62</v>
      </c>
      <c r="F33">
        <v>46216.2</v>
      </c>
    </row>
    <row r="34" spans="1:6" x14ac:dyDescent="0.25">
      <c r="A34" s="11" t="s">
        <v>656</v>
      </c>
      <c r="B34">
        <v>510</v>
      </c>
      <c r="C34">
        <v>90.62</v>
      </c>
      <c r="D34">
        <v>46216.2</v>
      </c>
    </row>
    <row r="35" spans="1:6" x14ac:dyDescent="0.25">
      <c r="A35" s="11" t="s">
        <v>351</v>
      </c>
    </row>
    <row r="36" spans="1:6" x14ac:dyDescent="0.25">
      <c r="A36" s="11" t="s">
        <v>14</v>
      </c>
      <c r="B36" s="11" t="s">
        <v>657</v>
      </c>
      <c r="C36" s="11" t="s">
        <v>658</v>
      </c>
      <c r="D36">
        <v>1183</v>
      </c>
      <c r="E36">
        <v>90.93</v>
      </c>
      <c r="F36">
        <v>107570.19</v>
      </c>
    </row>
    <row r="37" spans="1:6" x14ac:dyDescent="0.25">
      <c r="A37" s="11" t="s">
        <v>14</v>
      </c>
      <c r="B37" s="11" t="s">
        <v>659</v>
      </c>
      <c r="C37" s="11" t="s">
        <v>660</v>
      </c>
      <c r="D37">
        <v>1228</v>
      </c>
      <c r="E37">
        <v>90.93</v>
      </c>
      <c r="F37">
        <v>111662.04</v>
      </c>
    </row>
    <row r="38" spans="1:6" x14ac:dyDescent="0.25">
      <c r="A38" s="11" t="s">
        <v>14</v>
      </c>
      <c r="B38" s="11" t="s">
        <v>640</v>
      </c>
      <c r="C38" s="11" t="s">
        <v>635</v>
      </c>
      <c r="D38">
        <v>1752</v>
      </c>
      <c r="E38">
        <v>90.93</v>
      </c>
      <c r="F38">
        <v>159309.35999999999</v>
      </c>
    </row>
    <row r="39" spans="1:6" x14ac:dyDescent="0.25">
      <c r="A39" s="11" t="s">
        <v>354</v>
      </c>
      <c r="B39">
        <v>4163</v>
      </c>
      <c r="C39">
        <v>90.93</v>
      </c>
      <c r="D39">
        <v>378541.59</v>
      </c>
    </row>
    <row r="40" spans="1:6" x14ac:dyDescent="0.25">
      <c r="A40" s="11" t="s">
        <v>25</v>
      </c>
    </row>
    <row r="41" spans="1:6" x14ac:dyDescent="0.25">
      <c r="A41" s="11" t="s">
        <v>14</v>
      </c>
      <c r="B41" s="11" t="s">
        <v>632</v>
      </c>
      <c r="C41" s="11" t="s">
        <v>633</v>
      </c>
      <c r="D41">
        <v>2131</v>
      </c>
      <c r="E41">
        <v>74.92</v>
      </c>
      <c r="F41">
        <v>159654.51999999999</v>
      </c>
    </row>
    <row r="42" spans="1:6" x14ac:dyDescent="0.25">
      <c r="A42" s="11" t="s">
        <v>44</v>
      </c>
      <c r="B42">
        <v>2131</v>
      </c>
      <c r="C42">
        <v>74.92</v>
      </c>
      <c r="D42">
        <v>159654.51999999999</v>
      </c>
    </row>
    <row r="43" spans="1:6" x14ac:dyDescent="0.25">
      <c r="A43" s="11" t="s">
        <v>410</v>
      </c>
    </row>
    <row r="44" spans="1:6" x14ac:dyDescent="0.25">
      <c r="A44" s="11" t="s">
        <v>14</v>
      </c>
      <c r="B44" s="11" t="s">
        <v>661</v>
      </c>
      <c r="C44" s="11" t="s">
        <v>662</v>
      </c>
      <c r="D44">
        <v>575</v>
      </c>
      <c r="E44">
        <v>91.44</v>
      </c>
      <c r="F44">
        <v>52578</v>
      </c>
    </row>
    <row r="45" spans="1:6" x14ac:dyDescent="0.25">
      <c r="A45" s="11" t="s">
        <v>14</v>
      </c>
      <c r="B45" s="11" t="s">
        <v>663</v>
      </c>
      <c r="C45" s="11" t="s">
        <v>664</v>
      </c>
      <c r="D45">
        <v>2452</v>
      </c>
      <c r="E45">
        <v>91.44</v>
      </c>
      <c r="F45">
        <v>224210.88</v>
      </c>
    </row>
    <row r="46" spans="1:6" x14ac:dyDescent="0.25">
      <c r="A46" s="11" t="s">
        <v>14</v>
      </c>
      <c r="B46" s="11" t="s">
        <v>665</v>
      </c>
      <c r="C46" s="11" t="s">
        <v>666</v>
      </c>
      <c r="D46">
        <v>1305</v>
      </c>
      <c r="E46">
        <v>91.44</v>
      </c>
      <c r="F46">
        <v>119329.2</v>
      </c>
    </row>
    <row r="47" spans="1:6" x14ac:dyDescent="0.25">
      <c r="A47" s="11" t="s">
        <v>14</v>
      </c>
      <c r="B47" s="11" t="s">
        <v>667</v>
      </c>
      <c r="C47" s="11" t="s">
        <v>668</v>
      </c>
      <c r="D47">
        <v>343</v>
      </c>
      <c r="E47">
        <v>91.44</v>
      </c>
      <c r="F47">
        <v>31363.919999999998</v>
      </c>
    </row>
    <row r="48" spans="1:6" x14ac:dyDescent="0.25">
      <c r="A48" s="11" t="s">
        <v>14</v>
      </c>
      <c r="B48" s="11" t="s">
        <v>669</v>
      </c>
      <c r="C48" s="11" t="s">
        <v>670</v>
      </c>
      <c r="D48">
        <v>1582</v>
      </c>
      <c r="E48">
        <v>91.44</v>
      </c>
      <c r="F48">
        <v>144658.07999999999</v>
      </c>
    </row>
    <row r="49" spans="1:6" x14ac:dyDescent="0.25">
      <c r="A49" s="11" t="s">
        <v>14</v>
      </c>
      <c r="B49" s="11" t="s">
        <v>671</v>
      </c>
      <c r="C49" s="11" t="s">
        <v>672</v>
      </c>
      <c r="D49">
        <v>2303</v>
      </c>
      <c r="E49">
        <v>91.44</v>
      </c>
      <c r="F49">
        <v>210586.32</v>
      </c>
    </row>
    <row r="50" spans="1:6" x14ac:dyDescent="0.25">
      <c r="A50" s="11" t="s">
        <v>14</v>
      </c>
      <c r="B50" s="11" t="s">
        <v>673</v>
      </c>
      <c r="C50" s="11" t="s">
        <v>674</v>
      </c>
      <c r="D50">
        <v>1785</v>
      </c>
      <c r="E50">
        <v>91.44</v>
      </c>
      <c r="F50">
        <v>163220.4</v>
      </c>
    </row>
    <row r="51" spans="1:6" x14ac:dyDescent="0.25">
      <c r="A51" s="11" t="s">
        <v>14</v>
      </c>
      <c r="B51" s="11" t="s">
        <v>652</v>
      </c>
      <c r="C51" s="11" t="s">
        <v>653</v>
      </c>
      <c r="D51">
        <v>3023</v>
      </c>
      <c r="E51">
        <v>91.44</v>
      </c>
      <c r="F51">
        <v>276423.12</v>
      </c>
    </row>
    <row r="52" spans="1:6" x14ac:dyDescent="0.25">
      <c r="A52" s="11" t="s">
        <v>424</v>
      </c>
      <c r="B52">
        <v>13368</v>
      </c>
      <c r="C52">
        <v>91.44</v>
      </c>
      <c r="D52">
        <v>1222369.92</v>
      </c>
    </row>
    <row r="53" spans="1:6" x14ac:dyDescent="0.25">
      <c r="A53" s="11" t="s">
        <v>444</v>
      </c>
    </row>
    <row r="54" spans="1:6" x14ac:dyDescent="0.25">
      <c r="A54" s="11" t="s">
        <v>14</v>
      </c>
      <c r="B54" s="11" t="s">
        <v>675</v>
      </c>
      <c r="C54" s="11" t="s">
        <v>658</v>
      </c>
      <c r="D54">
        <v>1240</v>
      </c>
      <c r="E54">
        <v>102.76</v>
      </c>
      <c r="F54">
        <v>127422.39999999999</v>
      </c>
    </row>
    <row r="55" spans="1:6" x14ac:dyDescent="0.25">
      <c r="A55" s="11" t="s">
        <v>454</v>
      </c>
      <c r="B55">
        <v>1240</v>
      </c>
      <c r="C55">
        <v>102.76</v>
      </c>
      <c r="D55">
        <v>127422.39999999999</v>
      </c>
    </row>
    <row r="56" spans="1:6" x14ac:dyDescent="0.25">
      <c r="A56" s="11" t="s">
        <v>467</v>
      </c>
    </row>
    <row r="57" spans="1:6" x14ac:dyDescent="0.25">
      <c r="A57" s="11" t="s">
        <v>14</v>
      </c>
      <c r="B57" s="11" t="s">
        <v>676</v>
      </c>
      <c r="C57" s="11" t="s">
        <v>658</v>
      </c>
      <c r="D57">
        <v>2197</v>
      </c>
      <c r="E57">
        <v>99.45</v>
      </c>
      <c r="F57">
        <v>218491.65</v>
      </c>
    </row>
    <row r="58" spans="1:6" x14ac:dyDescent="0.25">
      <c r="A58" s="11" t="s">
        <v>14</v>
      </c>
      <c r="B58" s="11" t="s">
        <v>677</v>
      </c>
      <c r="C58" s="11" t="s">
        <v>660</v>
      </c>
      <c r="D58">
        <v>2426</v>
      </c>
      <c r="E58">
        <v>99.45</v>
      </c>
      <c r="F58">
        <v>241265.7</v>
      </c>
    </row>
    <row r="59" spans="1:6" x14ac:dyDescent="0.25">
      <c r="A59" s="11" t="s">
        <v>472</v>
      </c>
      <c r="B59">
        <v>4623</v>
      </c>
      <c r="C59">
        <v>99.45</v>
      </c>
      <c r="D59">
        <v>459757.35</v>
      </c>
    </row>
    <row r="60" spans="1:6" x14ac:dyDescent="0.25">
      <c r="A60" s="11" t="s">
        <v>194</v>
      </c>
    </row>
    <row r="61" spans="1:6" x14ac:dyDescent="0.25">
      <c r="A61" s="11" t="s">
        <v>14</v>
      </c>
      <c r="B61" s="11" t="s">
        <v>678</v>
      </c>
      <c r="C61" s="11" t="s">
        <v>662</v>
      </c>
      <c r="D61">
        <v>1802</v>
      </c>
      <c r="E61">
        <v>70.150000000000006</v>
      </c>
      <c r="F61">
        <v>126410.3</v>
      </c>
    </row>
    <row r="62" spans="1:6" x14ac:dyDescent="0.25">
      <c r="A62" s="11" t="s">
        <v>14</v>
      </c>
      <c r="B62" s="11" t="s">
        <v>679</v>
      </c>
      <c r="C62" s="11" t="s">
        <v>680</v>
      </c>
      <c r="D62">
        <v>1964</v>
      </c>
      <c r="E62">
        <v>70.150000000000006</v>
      </c>
      <c r="F62">
        <v>137774.6</v>
      </c>
    </row>
    <row r="63" spans="1:6" x14ac:dyDescent="0.25">
      <c r="A63" s="11" t="s">
        <v>14</v>
      </c>
      <c r="B63" s="11" t="s">
        <v>681</v>
      </c>
      <c r="C63" s="11" t="s">
        <v>682</v>
      </c>
      <c r="D63">
        <v>853</v>
      </c>
      <c r="E63">
        <v>70.150000000000006</v>
      </c>
      <c r="F63">
        <v>59837.95</v>
      </c>
    </row>
    <row r="64" spans="1:6" x14ac:dyDescent="0.25">
      <c r="A64" s="11" t="s">
        <v>14</v>
      </c>
      <c r="B64" s="11" t="s">
        <v>625</v>
      </c>
      <c r="C64" s="11" t="s">
        <v>626</v>
      </c>
      <c r="D64">
        <v>2830</v>
      </c>
      <c r="E64">
        <v>70.150000000000006</v>
      </c>
      <c r="F64">
        <v>198524.5</v>
      </c>
    </row>
    <row r="65" spans="1:6" x14ac:dyDescent="0.25">
      <c r="A65" s="11" t="s">
        <v>14</v>
      </c>
      <c r="B65" s="11" t="s">
        <v>683</v>
      </c>
      <c r="C65" s="11" t="s">
        <v>666</v>
      </c>
      <c r="D65">
        <v>2673</v>
      </c>
      <c r="E65">
        <v>70.150000000000006</v>
      </c>
      <c r="F65">
        <v>187510.95</v>
      </c>
    </row>
    <row r="66" spans="1:6" x14ac:dyDescent="0.25">
      <c r="A66" s="11" t="s">
        <v>14</v>
      </c>
      <c r="B66" s="11" t="s">
        <v>684</v>
      </c>
      <c r="C66" s="11" t="s">
        <v>668</v>
      </c>
      <c r="D66">
        <v>3594</v>
      </c>
      <c r="E66">
        <v>70.150000000000006</v>
      </c>
      <c r="F66">
        <v>252119.1</v>
      </c>
    </row>
    <row r="67" spans="1:6" x14ac:dyDescent="0.25">
      <c r="A67" s="11" t="s">
        <v>14</v>
      </c>
      <c r="B67" s="11" t="s">
        <v>634</v>
      </c>
      <c r="C67" s="11" t="s">
        <v>635</v>
      </c>
      <c r="D67">
        <v>1783</v>
      </c>
      <c r="E67">
        <v>70.150000000000006</v>
      </c>
      <c r="F67">
        <v>125077.45</v>
      </c>
    </row>
    <row r="68" spans="1:6" x14ac:dyDescent="0.25">
      <c r="A68" s="11" t="s">
        <v>14</v>
      </c>
      <c r="B68" s="11" t="s">
        <v>685</v>
      </c>
      <c r="C68" s="11" t="s">
        <v>686</v>
      </c>
      <c r="D68">
        <v>652</v>
      </c>
      <c r="E68">
        <v>70.150000000000006</v>
      </c>
      <c r="F68">
        <v>45737.8</v>
      </c>
    </row>
    <row r="69" spans="1:6" x14ac:dyDescent="0.25">
      <c r="A69" s="11" t="s">
        <v>14</v>
      </c>
      <c r="B69" s="11" t="s">
        <v>637</v>
      </c>
      <c r="C69" s="11" t="s">
        <v>638</v>
      </c>
      <c r="D69">
        <v>2550</v>
      </c>
      <c r="E69">
        <v>70.150000000000006</v>
      </c>
      <c r="F69">
        <v>178882.5</v>
      </c>
    </row>
    <row r="70" spans="1:6" x14ac:dyDescent="0.25">
      <c r="A70" s="11" t="s">
        <v>14</v>
      </c>
      <c r="B70" s="11" t="s">
        <v>641</v>
      </c>
      <c r="C70" s="11" t="s">
        <v>642</v>
      </c>
      <c r="D70">
        <v>938</v>
      </c>
      <c r="E70">
        <v>70.150000000000006</v>
      </c>
      <c r="F70">
        <v>65800.7</v>
      </c>
    </row>
    <row r="71" spans="1:6" x14ac:dyDescent="0.25">
      <c r="A71" s="11" t="s">
        <v>242</v>
      </c>
      <c r="B71">
        <v>19639</v>
      </c>
      <c r="C71">
        <v>70.150000000000006</v>
      </c>
      <c r="D71">
        <v>1377675.85</v>
      </c>
    </row>
    <row r="72" spans="1:6" x14ac:dyDescent="0.25">
      <c r="A72" s="11" t="s">
        <v>687</v>
      </c>
    </row>
    <row r="73" spans="1:6" x14ac:dyDescent="0.25">
      <c r="A73" s="11" t="s">
        <v>14</v>
      </c>
      <c r="B73" s="11" t="s">
        <v>654</v>
      </c>
      <c r="C73" s="11" t="s">
        <v>653</v>
      </c>
      <c r="D73">
        <v>793</v>
      </c>
      <c r="E73">
        <v>87.21</v>
      </c>
      <c r="F73">
        <v>69157.53</v>
      </c>
    </row>
    <row r="74" spans="1:6" x14ac:dyDescent="0.25">
      <c r="A74" s="11" t="s">
        <v>14</v>
      </c>
      <c r="B74" s="11" t="s">
        <v>688</v>
      </c>
      <c r="C74" s="11" t="s">
        <v>635</v>
      </c>
      <c r="D74">
        <v>792</v>
      </c>
      <c r="E74">
        <v>84.21</v>
      </c>
      <c r="F74">
        <v>66694.320000000007</v>
      </c>
    </row>
    <row r="75" spans="1:6" x14ac:dyDescent="0.25">
      <c r="A75" s="11" t="s">
        <v>689</v>
      </c>
      <c r="B75">
        <v>1585</v>
      </c>
      <c r="C75">
        <v>85.710946372239704</v>
      </c>
      <c r="D75">
        <v>135851.85</v>
      </c>
    </row>
    <row r="76" spans="1:6" x14ac:dyDescent="0.25">
      <c r="A76" s="11" t="s">
        <v>527</v>
      </c>
    </row>
    <row r="77" spans="1:6" x14ac:dyDescent="0.25">
      <c r="A77" s="11" t="s">
        <v>14</v>
      </c>
      <c r="B77" s="11" t="s">
        <v>690</v>
      </c>
      <c r="C77" s="11" t="s">
        <v>658</v>
      </c>
      <c r="D77">
        <v>1584</v>
      </c>
      <c r="E77">
        <v>87.04</v>
      </c>
      <c r="F77">
        <v>137871.35999999999</v>
      </c>
    </row>
    <row r="78" spans="1:6" x14ac:dyDescent="0.25">
      <c r="A78" s="11" t="s">
        <v>14</v>
      </c>
      <c r="B78" s="11" t="s">
        <v>691</v>
      </c>
      <c r="C78" s="11" t="s">
        <v>660</v>
      </c>
      <c r="D78">
        <v>1716</v>
      </c>
      <c r="E78">
        <v>87.04</v>
      </c>
      <c r="F78">
        <v>149360.64000000001</v>
      </c>
    </row>
    <row r="79" spans="1:6" x14ac:dyDescent="0.25">
      <c r="A79" s="11" t="s">
        <v>14</v>
      </c>
      <c r="B79" s="11" t="s">
        <v>636</v>
      </c>
      <c r="C79" s="11" t="s">
        <v>635</v>
      </c>
      <c r="D79">
        <v>1128</v>
      </c>
      <c r="E79">
        <v>87.04</v>
      </c>
      <c r="F79">
        <v>98181.119999999995</v>
      </c>
    </row>
    <row r="80" spans="1:6" x14ac:dyDescent="0.25">
      <c r="A80" s="11" t="s">
        <v>14</v>
      </c>
      <c r="B80" s="11" t="s">
        <v>639</v>
      </c>
      <c r="C80" s="11" t="s">
        <v>638</v>
      </c>
      <c r="D80">
        <v>1627</v>
      </c>
      <c r="E80">
        <v>87.04</v>
      </c>
      <c r="F80">
        <v>141614.07999999999</v>
      </c>
    </row>
    <row r="81" spans="1:6" x14ac:dyDescent="0.25">
      <c r="A81" s="11" t="s">
        <v>14</v>
      </c>
      <c r="B81" s="11" t="s">
        <v>643</v>
      </c>
      <c r="C81" s="11" t="s">
        <v>644</v>
      </c>
      <c r="D81">
        <v>510</v>
      </c>
      <c r="E81">
        <v>87.04</v>
      </c>
      <c r="F81">
        <v>44390.400000000001</v>
      </c>
    </row>
    <row r="82" spans="1:6" x14ac:dyDescent="0.25">
      <c r="A82" s="11" t="s">
        <v>530</v>
      </c>
      <c r="B82">
        <v>6565</v>
      </c>
      <c r="C82">
        <v>87.04</v>
      </c>
      <c r="D82">
        <v>571417.59999999998</v>
      </c>
    </row>
    <row r="83" spans="1:6" x14ac:dyDescent="0.25">
      <c r="A83" s="11" t="s">
        <v>252</v>
      </c>
    </row>
    <row r="84" spans="1:6" x14ac:dyDescent="0.25">
      <c r="A84" s="11" t="s">
        <v>14</v>
      </c>
      <c r="B84" s="11" t="s">
        <v>692</v>
      </c>
      <c r="C84" s="11" t="s">
        <v>693</v>
      </c>
      <c r="D84">
        <v>662</v>
      </c>
      <c r="E84">
        <v>83.42</v>
      </c>
      <c r="F84">
        <v>55224.04</v>
      </c>
    </row>
    <row r="85" spans="1:6" x14ac:dyDescent="0.25">
      <c r="A85" s="11" t="s">
        <v>14</v>
      </c>
      <c r="B85" s="11" t="s">
        <v>694</v>
      </c>
      <c r="C85" s="11" t="s">
        <v>660</v>
      </c>
      <c r="D85">
        <v>1138</v>
      </c>
      <c r="E85">
        <v>83.42</v>
      </c>
      <c r="F85">
        <v>94931.96</v>
      </c>
    </row>
    <row r="86" spans="1:6" x14ac:dyDescent="0.25">
      <c r="A86" s="11" t="s">
        <v>14</v>
      </c>
      <c r="B86" s="11" t="s">
        <v>695</v>
      </c>
      <c r="C86" s="11" t="s">
        <v>626</v>
      </c>
      <c r="D86">
        <v>210</v>
      </c>
      <c r="E86">
        <v>83.42</v>
      </c>
      <c r="F86">
        <v>17518.2</v>
      </c>
    </row>
    <row r="87" spans="1:6" x14ac:dyDescent="0.25">
      <c r="A87" s="11" t="s">
        <v>14</v>
      </c>
      <c r="B87" s="11" t="s">
        <v>696</v>
      </c>
      <c r="C87" s="11" t="s">
        <v>697</v>
      </c>
      <c r="D87">
        <v>2114</v>
      </c>
      <c r="E87">
        <v>83.42</v>
      </c>
      <c r="F87">
        <v>176349.88</v>
      </c>
    </row>
    <row r="88" spans="1:6" x14ac:dyDescent="0.25">
      <c r="A88" s="11" t="s">
        <v>14</v>
      </c>
      <c r="B88" s="11" t="s">
        <v>698</v>
      </c>
      <c r="C88" s="11" t="s">
        <v>699</v>
      </c>
      <c r="D88">
        <v>2711</v>
      </c>
      <c r="E88">
        <v>83.42</v>
      </c>
      <c r="F88">
        <v>226151.62</v>
      </c>
    </row>
    <row r="89" spans="1:6" x14ac:dyDescent="0.25">
      <c r="A89" s="11" t="s">
        <v>14</v>
      </c>
      <c r="B89" s="11" t="s">
        <v>700</v>
      </c>
      <c r="C89" s="11" t="s">
        <v>701</v>
      </c>
      <c r="D89">
        <v>1680</v>
      </c>
      <c r="E89">
        <v>83.42</v>
      </c>
      <c r="F89">
        <v>140145.60000000001</v>
      </c>
    </row>
    <row r="90" spans="1:6" x14ac:dyDescent="0.25">
      <c r="A90" s="11" t="s">
        <v>258</v>
      </c>
      <c r="B90">
        <v>8515</v>
      </c>
      <c r="C90">
        <v>83.42</v>
      </c>
      <c r="D90">
        <v>710321.3</v>
      </c>
    </row>
    <row r="91" spans="1:6" x14ac:dyDescent="0.25">
      <c r="A91" s="11" t="s">
        <v>259</v>
      </c>
    </row>
    <row r="92" spans="1:6" x14ac:dyDescent="0.25">
      <c r="A92" s="11" t="s">
        <v>14</v>
      </c>
      <c r="B92" s="11" t="s">
        <v>702</v>
      </c>
      <c r="C92" s="11" t="s">
        <v>672</v>
      </c>
      <c r="D92">
        <v>2603</v>
      </c>
      <c r="E92">
        <v>75.64</v>
      </c>
      <c r="F92">
        <v>196890.92</v>
      </c>
    </row>
    <row r="93" spans="1:6" x14ac:dyDescent="0.25">
      <c r="A93" s="11" t="s">
        <v>14</v>
      </c>
      <c r="B93" s="11" t="s">
        <v>647</v>
      </c>
      <c r="C93" s="11" t="s">
        <v>648</v>
      </c>
      <c r="D93">
        <v>2426</v>
      </c>
      <c r="E93">
        <v>75.64</v>
      </c>
      <c r="F93">
        <v>183502.64</v>
      </c>
    </row>
    <row r="94" spans="1:6" x14ac:dyDescent="0.25">
      <c r="A94" s="11" t="s">
        <v>281</v>
      </c>
      <c r="B94">
        <v>5029</v>
      </c>
      <c r="C94">
        <v>75.64</v>
      </c>
      <c r="D94">
        <v>380393.56</v>
      </c>
    </row>
    <row r="95" spans="1:6" x14ac:dyDescent="0.25">
      <c r="A95" s="11" t="s">
        <v>564</v>
      </c>
    </row>
    <row r="96" spans="1:6" x14ac:dyDescent="0.25">
      <c r="A96" s="11" t="s">
        <v>14</v>
      </c>
      <c r="B96" s="11" t="s">
        <v>678</v>
      </c>
      <c r="C96" s="11" t="s">
        <v>662</v>
      </c>
      <c r="D96">
        <v>1802</v>
      </c>
      <c r="E96">
        <v>0.45</v>
      </c>
      <c r="F96">
        <v>810.9</v>
      </c>
    </row>
    <row r="97" spans="1:6" x14ac:dyDescent="0.25">
      <c r="A97" s="11" t="s">
        <v>14</v>
      </c>
      <c r="B97" s="11" t="s">
        <v>661</v>
      </c>
      <c r="C97" s="11" t="s">
        <v>662</v>
      </c>
      <c r="D97">
        <v>575</v>
      </c>
      <c r="E97">
        <v>0.45</v>
      </c>
      <c r="F97">
        <v>258.75</v>
      </c>
    </row>
    <row r="98" spans="1:6" x14ac:dyDescent="0.25">
      <c r="A98" s="11" t="s">
        <v>14</v>
      </c>
      <c r="B98" s="11" t="s">
        <v>703</v>
      </c>
      <c r="C98" s="11" t="s">
        <v>662</v>
      </c>
      <c r="D98">
        <v>1355</v>
      </c>
      <c r="E98">
        <v>0.45</v>
      </c>
      <c r="F98">
        <v>609.75</v>
      </c>
    </row>
    <row r="99" spans="1:6" x14ac:dyDescent="0.25">
      <c r="A99" s="11" t="s">
        <v>14</v>
      </c>
      <c r="B99" s="11" t="s">
        <v>692</v>
      </c>
      <c r="C99" s="11" t="s">
        <v>693</v>
      </c>
      <c r="D99">
        <v>662</v>
      </c>
      <c r="E99">
        <v>0.45</v>
      </c>
      <c r="F99">
        <v>297.89999999999998</v>
      </c>
    </row>
    <row r="100" spans="1:6" x14ac:dyDescent="0.25">
      <c r="A100" s="11" t="s">
        <v>14</v>
      </c>
      <c r="B100" s="11" t="s">
        <v>704</v>
      </c>
      <c r="C100" s="11" t="s">
        <v>705</v>
      </c>
      <c r="D100">
        <v>2290</v>
      </c>
      <c r="E100">
        <v>0.45</v>
      </c>
      <c r="F100">
        <v>1030.5</v>
      </c>
    </row>
    <row r="101" spans="1:6" x14ac:dyDescent="0.25">
      <c r="A101" s="11" t="s">
        <v>14</v>
      </c>
      <c r="B101" s="11" t="s">
        <v>676</v>
      </c>
      <c r="C101" s="11" t="s">
        <v>658</v>
      </c>
      <c r="D101">
        <v>2197</v>
      </c>
      <c r="E101">
        <v>0.45</v>
      </c>
      <c r="F101">
        <v>988.65</v>
      </c>
    </row>
    <row r="102" spans="1:6" x14ac:dyDescent="0.25">
      <c r="A102" s="11" t="s">
        <v>14</v>
      </c>
      <c r="B102" s="11" t="s">
        <v>675</v>
      </c>
      <c r="C102" s="11" t="s">
        <v>658</v>
      </c>
      <c r="D102">
        <v>1240</v>
      </c>
      <c r="E102">
        <v>0.45</v>
      </c>
      <c r="F102">
        <v>558</v>
      </c>
    </row>
    <row r="103" spans="1:6" x14ac:dyDescent="0.25">
      <c r="A103" s="11" t="s">
        <v>14</v>
      </c>
      <c r="B103" s="11" t="s">
        <v>690</v>
      </c>
      <c r="C103" s="11" t="s">
        <v>658</v>
      </c>
      <c r="D103">
        <v>1584</v>
      </c>
      <c r="E103">
        <v>0.45</v>
      </c>
      <c r="F103">
        <v>712.8</v>
      </c>
    </row>
    <row r="104" spans="1:6" x14ac:dyDescent="0.25">
      <c r="A104" s="11" t="s">
        <v>14</v>
      </c>
      <c r="B104" s="11" t="s">
        <v>657</v>
      </c>
      <c r="C104" s="11" t="s">
        <v>658</v>
      </c>
      <c r="D104">
        <v>1183</v>
      </c>
      <c r="E104">
        <v>0.45</v>
      </c>
      <c r="F104">
        <v>532.35</v>
      </c>
    </row>
    <row r="105" spans="1:6" x14ac:dyDescent="0.25">
      <c r="A105" s="11" t="s">
        <v>14</v>
      </c>
      <c r="B105" s="11" t="s">
        <v>706</v>
      </c>
      <c r="C105" s="11" t="s">
        <v>680</v>
      </c>
      <c r="D105">
        <v>2097.5</v>
      </c>
      <c r="E105">
        <v>0.45</v>
      </c>
      <c r="F105">
        <v>943.875</v>
      </c>
    </row>
    <row r="106" spans="1:6" x14ac:dyDescent="0.25">
      <c r="A106" s="11" t="s">
        <v>14</v>
      </c>
      <c r="B106" s="11" t="s">
        <v>679</v>
      </c>
      <c r="C106" s="11" t="s">
        <v>680</v>
      </c>
      <c r="D106">
        <v>1964</v>
      </c>
      <c r="E106">
        <v>0.45</v>
      </c>
      <c r="F106">
        <v>883.8</v>
      </c>
    </row>
    <row r="107" spans="1:6" x14ac:dyDescent="0.25">
      <c r="A107" s="11" t="s">
        <v>14</v>
      </c>
      <c r="B107" s="11" t="s">
        <v>663</v>
      </c>
      <c r="C107" s="11" t="s">
        <v>664</v>
      </c>
      <c r="D107">
        <v>2452</v>
      </c>
      <c r="E107">
        <v>0.45</v>
      </c>
      <c r="F107">
        <v>1103.4000000000001</v>
      </c>
    </row>
    <row r="108" spans="1:6" x14ac:dyDescent="0.25">
      <c r="A108" s="11" t="s">
        <v>14</v>
      </c>
      <c r="B108" s="11" t="s">
        <v>707</v>
      </c>
      <c r="C108" s="11" t="s">
        <v>664</v>
      </c>
      <c r="D108">
        <v>668</v>
      </c>
      <c r="E108">
        <v>0.45</v>
      </c>
      <c r="F108">
        <v>300.60000000000002</v>
      </c>
    </row>
    <row r="109" spans="1:6" x14ac:dyDescent="0.25">
      <c r="A109" s="11" t="s">
        <v>14</v>
      </c>
      <c r="B109" s="11" t="s">
        <v>708</v>
      </c>
      <c r="C109" s="11" t="s">
        <v>709</v>
      </c>
      <c r="D109">
        <v>744</v>
      </c>
      <c r="E109">
        <v>0.45</v>
      </c>
      <c r="F109">
        <v>334.8</v>
      </c>
    </row>
    <row r="110" spans="1:6" x14ac:dyDescent="0.25">
      <c r="A110" s="11" t="s">
        <v>14</v>
      </c>
      <c r="B110" s="11" t="s">
        <v>710</v>
      </c>
      <c r="C110" s="11" t="s">
        <v>711</v>
      </c>
      <c r="D110">
        <v>4594</v>
      </c>
      <c r="E110">
        <v>0.45</v>
      </c>
      <c r="F110">
        <v>2067.3000000000002</v>
      </c>
    </row>
    <row r="111" spans="1:6" x14ac:dyDescent="0.25">
      <c r="A111" s="11" t="s">
        <v>14</v>
      </c>
      <c r="B111" s="11" t="s">
        <v>712</v>
      </c>
      <c r="C111" s="11" t="s">
        <v>664</v>
      </c>
      <c r="D111">
        <v>2188</v>
      </c>
      <c r="E111">
        <v>0.45</v>
      </c>
      <c r="F111">
        <v>984.6</v>
      </c>
    </row>
    <row r="112" spans="1:6" x14ac:dyDescent="0.25">
      <c r="A112" s="11" t="s">
        <v>14</v>
      </c>
      <c r="B112" s="11" t="s">
        <v>713</v>
      </c>
      <c r="C112" s="11" t="s">
        <v>682</v>
      </c>
      <c r="D112">
        <v>2161</v>
      </c>
      <c r="E112">
        <v>0.45</v>
      </c>
      <c r="F112">
        <v>972.45</v>
      </c>
    </row>
    <row r="113" spans="1:6" x14ac:dyDescent="0.25">
      <c r="A113" s="11" t="s">
        <v>14</v>
      </c>
      <c r="B113" s="11" t="s">
        <v>681</v>
      </c>
      <c r="C113" s="11" t="s">
        <v>682</v>
      </c>
      <c r="D113">
        <v>853</v>
      </c>
      <c r="E113">
        <v>0.45</v>
      </c>
      <c r="F113">
        <v>383.85</v>
      </c>
    </row>
    <row r="114" spans="1:6" x14ac:dyDescent="0.25">
      <c r="A114" s="11" t="s">
        <v>14</v>
      </c>
      <c r="B114" s="11" t="s">
        <v>714</v>
      </c>
      <c r="C114" s="11" t="s">
        <v>715</v>
      </c>
      <c r="D114">
        <v>693</v>
      </c>
      <c r="E114">
        <v>0.45</v>
      </c>
      <c r="F114">
        <v>311.85000000000002</v>
      </c>
    </row>
    <row r="115" spans="1:6" x14ac:dyDescent="0.25">
      <c r="A115" s="11" t="s">
        <v>14</v>
      </c>
      <c r="B115" s="11" t="s">
        <v>677</v>
      </c>
      <c r="C115" s="11" t="s">
        <v>660</v>
      </c>
      <c r="D115">
        <v>2426</v>
      </c>
      <c r="E115">
        <v>0.45</v>
      </c>
      <c r="F115">
        <v>1091.7</v>
      </c>
    </row>
    <row r="116" spans="1:6" x14ac:dyDescent="0.25">
      <c r="A116" s="11" t="s">
        <v>14</v>
      </c>
      <c r="B116" s="11" t="s">
        <v>694</v>
      </c>
      <c r="C116" s="11" t="s">
        <v>660</v>
      </c>
      <c r="D116">
        <v>1338</v>
      </c>
      <c r="E116">
        <v>0.45</v>
      </c>
      <c r="F116">
        <v>602.1</v>
      </c>
    </row>
    <row r="117" spans="1:6" x14ac:dyDescent="0.25">
      <c r="A117" s="11" t="s">
        <v>14</v>
      </c>
      <c r="B117" s="11" t="s">
        <v>691</v>
      </c>
      <c r="C117" s="11" t="s">
        <v>660</v>
      </c>
      <c r="D117">
        <v>1716</v>
      </c>
      <c r="E117">
        <v>0.45</v>
      </c>
      <c r="F117">
        <v>772.2</v>
      </c>
    </row>
    <row r="118" spans="1:6" x14ac:dyDescent="0.25">
      <c r="A118" s="11" t="s">
        <v>14</v>
      </c>
      <c r="B118" s="11" t="s">
        <v>659</v>
      </c>
      <c r="C118" s="11" t="s">
        <v>660</v>
      </c>
      <c r="D118">
        <v>1228</v>
      </c>
      <c r="E118">
        <v>0.45</v>
      </c>
      <c r="F118">
        <v>552.6</v>
      </c>
    </row>
    <row r="119" spans="1:6" x14ac:dyDescent="0.25">
      <c r="A119" s="11" t="s">
        <v>14</v>
      </c>
      <c r="B119" s="11" t="s">
        <v>695</v>
      </c>
      <c r="C119" s="11" t="s">
        <v>626</v>
      </c>
      <c r="D119">
        <v>210</v>
      </c>
      <c r="E119">
        <v>0.45</v>
      </c>
      <c r="F119">
        <v>94.5</v>
      </c>
    </row>
    <row r="120" spans="1:6" x14ac:dyDescent="0.25">
      <c r="A120" s="11" t="s">
        <v>14</v>
      </c>
      <c r="B120" s="11" t="s">
        <v>625</v>
      </c>
      <c r="C120" s="11" t="s">
        <v>626</v>
      </c>
      <c r="D120">
        <v>2830</v>
      </c>
      <c r="E120">
        <v>0.45</v>
      </c>
      <c r="F120">
        <v>1273.5</v>
      </c>
    </row>
    <row r="121" spans="1:6" x14ac:dyDescent="0.25">
      <c r="A121" s="11" t="s">
        <v>14</v>
      </c>
      <c r="B121" s="11" t="s">
        <v>716</v>
      </c>
      <c r="C121" s="11" t="s">
        <v>717</v>
      </c>
      <c r="D121">
        <v>3153</v>
      </c>
      <c r="E121">
        <v>0.45</v>
      </c>
      <c r="F121">
        <v>1418.85</v>
      </c>
    </row>
    <row r="122" spans="1:6" x14ac:dyDescent="0.25">
      <c r="A122" s="11" t="s">
        <v>14</v>
      </c>
      <c r="B122" s="11" t="s">
        <v>718</v>
      </c>
      <c r="C122" s="11" t="s">
        <v>719</v>
      </c>
      <c r="D122">
        <v>1967</v>
      </c>
      <c r="E122">
        <v>0.45</v>
      </c>
      <c r="F122">
        <v>885.15</v>
      </c>
    </row>
    <row r="123" spans="1:6" x14ac:dyDescent="0.25">
      <c r="A123" s="11" t="s">
        <v>14</v>
      </c>
      <c r="B123" s="11" t="s">
        <v>720</v>
      </c>
      <c r="C123" s="11" t="s">
        <v>721</v>
      </c>
      <c r="D123">
        <v>225</v>
      </c>
      <c r="E123">
        <v>0.45</v>
      </c>
      <c r="F123">
        <v>101.25</v>
      </c>
    </row>
    <row r="124" spans="1:6" x14ac:dyDescent="0.25">
      <c r="A124" s="11" t="s">
        <v>14</v>
      </c>
      <c r="B124" s="11" t="s">
        <v>696</v>
      </c>
      <c r="C124" s="11" t="s">
        <v>697</v>
      </c>
      <c r="D124">
        <v>2114</v>
      </c>
      <c r="E124">
        <v>0.45</v>
      </c>
      <c r="F124">
        <v>951.3</v>
      </c>
    </row>
    <row r="125" spans="1:6" x14ac:dyDescent="0.25">
      <c r="A125" s="11" t="s">
        <v>14</v>
      </c>
      <c r="B125" s="11" t="s">
        <v>722</v>
      </c>
      <c r="C125" s="11" t="s">
        <v>697</v>
      </c>
      <c r="D125">
        <v>1148</v>
      </c>
      <c r="E125">
        <v>0.45</v>
      </c>
      <c r="F125">
        <v>516.6</v>
      </c>
    </row>
    <row r="126" spans="1:6" x14ac:dyDescent="0.25">
      <c r="A126" s="11" t="s">
        <v>14</v>
      </c>
      <c r="B126" s="11" t="s">
        <v>723</v>
      </c>
      <c r="C126" s="11" t="s">
        <v>666</v>
      </c>
      <c r="D126">
        <v>2098</v>
      </c>
      <c r="E126">
        <v>0.45</v>
      </c>
      <c r="F126">
        <v>944.1</v>
      </c>
    </row>
    <row r="127" spans="1:6" x14ac:dyDescent="0.25">
      <c r="A127" s="11" t="s">
        <v>14</v>
      </c>
      <c r="B127" s="11" t="s">
        <v>665</v>
      </c>
      <c r="C127" s="11" t="s">
        <v>666</v>
      </c>
      <c r="D127">
        <v>1305</v>
      </c>
      <c r="E127">
        <v>0.45</v>
      </c>
      <c r="F127">
        <v>587.25</v>
      </c>
    </row>
    <row r="128" spans="1:6" x14ac:dyDescent="0.25">
      <c r="A128" s="11" t="s">
        <v>14</v>
      </c>
      <c r="B128" s="11" t="s">
        <v>683</v>
      </c>
      <c r="C128" s="11" t="s">
        <v>666</v>
      </c>
      <c r="D128">
        <v>2673</v>
      </c>
      <c r="E128">
        <v>0.45</v>
      </c>
      <c r="F128">
        <v>1202.8499999999999</v>
      </c>
    </row>
    <row r="129" spans="1:6" x14ac:dyDescent="0.25">
      <c r="A129" s="11" t="s">
        <v>14</v>
      </c>
      <c r="B129" s="11" t="s">
        <v>724</v>
      </c>
      <c r="C129" s="11" t="s">
        <v>725</v>
      </c>
      <c r="D129">
        <v>1402</v>
      </c>
      <c r="E129">
        <v>0.45</v>
      </c>
      <c r="F129">
        <v>630.9</v>
      </c>
    </row>
    <row r="130" spans="1:6" x14ac:dyDescent="0.25">
      <c r="A130" s="11" t="s">
        <v>14</v>
      </c>
      <c r="B130" s="11" t="s">
        <v>726</v>
      </c>
      <c r="C130" s="11" t="s">
        <v>727</v>
      </c>
      <c r="D130">
        <v>2612</v>
      </c>
      <c r="E130">
        <v>0.45</v>
      </c>
      <c r="F130">
        <v>1175.4000000000001</v>
      </c>
    </row>
    <row r="131" spans="1:6" x14ac:dyDescent="0.25">
      <c r="A131" s="11" t="s">
        <v>14</v>
      </c>
      <c r="B131" s="11" t="s">
        <v>684</v>
      </c>
      <c r="C131" s="11" t="s">
        <v>668</v>
      </c>
      <c r="D131">
        <v>3588</v>
      </c>
      <c r="E131">
        <v>0.45</v>
      </c>
      <c r="F131">
        <v>1614.6</v>
      </c>
    </row>
    <row r="132" spans="1:6" x14ac:dyDescent="0.25">
      <c r="A132" s="11" t="s">
        <v>14</v>
      </c>
      <c r="B132" s="11" t="s">
        <v>667</v>
      </c>
      <c r="C132" s="11" t="s">
        <v>668</v>
      </c>
      <c r="D132">
        <v>343</v>
      </c>
      <c r="E132">
        <v>0.45</v>
      </c>
      <c r="F132">
        <v>154.35</v>
      </c>
    </row>
    <row r="133" spans="1:6" x14ac:dyDescent="0.25">
      <c r="A133" s="11" t="s">
        <v>14</v>
      </c>
      <c r="B133" s="11" t="s">
        <v>728</v>
      </c>
      <c r="C133" s="11" t="s">
        <v>668</v>
      </c>
      <c r="D133">
        <v>1837</v>
      </c>
      <c r="E133">
        <v>0.45</v>
      </c>
      <c r="F133">
        <v>826.65</v>
      </c>
    </row>
    <row r="134" spans="1:6" x14ac:dyDescent="0.25">
      <c r="A134" s="11" t="s">
        <v>14</v>
      </c>
      <c r="B134" s="11" t="s">
        <v>729</v>
      </c>
      <c r="C134" s="11" t="s">
        <v>730</v>
      </c>
      <c r="D134">
        <v>225</v>
      </c>
      <c r="E134">
        <v>0.45</v>
      </c>
      <c r="F134">
        <v>101.25</v>
      </c>
    </row>
    <row r="135" spans="1:6" x14ac:dyDescent="0.25">
      <c r="A135" s="11" t="s">
        <v>14</v>
      </c>
      <c r="B135" s="11" t="s">
        <v>731</v>
      </c>
      <c r="C135" s="11" t="s">
        <v>730</v>
      </c>
      <c r="D135">
        <v>2588</v>
      </c>
      <c r="E135">
        <v>0.45</v>
      </c>
      <c r="F135">
        <v>1164.5999999999999</v>
      </c>
    </row>
    <row r="136" spans="1:6" x14ac:dyDescent="0.25">
      <c r="A136" s="11" t="s">
        <v>14</v>
      </c>
      <c r="B136" s="11" t="s">
        <v>669</v>
      </c>
      <c r="C136" s="11" t="s">
        <v>670</v>
      </c>
      <c r="D136">
        <v>1582</v>
      </c>
      <c r="E136">
        <v>0.45</v>
      </c>
      <c r="F136">
        <v>711.9</v>
      </c>
    </row>
    <row r="137" spans="1:6" x14ac:dyDescent="0.25">
      <c r="A137" s="11" t="s">
        <v>14</v>
      </c>
      <c r="B137" s="11" t="s">
        <v>702</v>
      </c>
      <c r="C137" s="11" t="s">
        <v>672</v>
      </c>
      <c r="D137">
        <v>2603</v>
      </c>
      <c r="E137">
        <v>0.45</v>
      </c>
      <c r="F137">
        <v>1171.3499999999999</v>
      </c>
    </row>
    <row r="138" spans="1:6" x14ac:dyDescent="0.25">
      <c r="A138" s="11" t="s">
        <v>14</v>
      </c>
      <c r="B138" s="11" t="s">
        <v>671</v>
      </c>
      <c r="C138" s="11" t="s">
        <v>672</v>
      </c>
      <c r="D138">
        <v>2303</v>
      </c>
      <c r="E138">
        <v>0.45</v>
      </c>
      <c r="F138">
        <v>1036.3499999999999</v>
      </c>
    </row>
    <row r="139" spans="1:6" x14ac:dyDescent="0.25">
      <c r="A139" s="11" t="s">
        <v>14</v>
      </c>
      <c r="B139" s="11" t="s">
        <v>673</v>
      </c>
      <c r="C139" s="11" t="s">
        <v>674</v>
      </c>
      <c r="D139">
        <v>1785</v>
      </c>
      <c r="E139">
        <v>0.45</v>
      </c>
      <c r="F139">
        <v>803.25</v>
      </c>
    </row>
    <row r="140" spans="1:6" x14ac:dyDescent="0.25">
      <c r="A140" s="11" t="s">
        <v>14</v>
      </c>
      <c r="B140" s="11" t="s">
        <v>698</v>
      </c>
      <c r="C140" s="11" t="s">
        <v>699</v>
      </c>
      <c r="D140">
        <v>2711</v>
      </c>
      <c r="E140">
        <v>0.45</v>
      </c>
      <c r="F140">
        <v>1219.95</v>
      </c>
    </row>
    <row r="141" spans="1:6" x14ac:dyDescent="0.25">
      <c r="A141" s="11" t="s">
        <v>14</v>
      </c>
      <c r="B141" s="11" t="s">
        <v>628</v>
      </c>
      <c r="C141" s="11" t="s">
        <v>629</v>
      </c>
      <c r="D141">
        <v>1762</v>
      </c>
      <c r="E141">
        <v>0.45</v>
      </c>
      <c r="F141">
        <v>792.9</v>
      </c>
    </row>
    <row r="142" spans="1:6" x14ac:dyDescent="0.25">
      <c r="A142" s="11" t="s">
        <v>14</v>
      </c>
      <c r="B142" s="11" t="s">
        <v>652</v>
      </c>
      <c r="C142" s="11" t="s">
        <v>653</v>
      </c>
      <c r="D142">
        <v>3023</v>
      </c>
      <c r="E142">
        <v>0.45</v>
      </c>
      <c r="F142">
        <v>1360.35</v>
      </c>
    </row>
    <row r="143" spans="1:6" x14ac:dyDescent="0.25">
      <c r="A143" s="11" t="s">
        <v>14</v>
      </c>
      <c r="B143" s="11" t="s">
        <v>654</v>
      </c>
      <c r="C143" s="11" t="s">
        <v>653</v>
      </c>
      <c r="D143">
        <v>793</v>
      </c>
      <c r="E143">
        <v>0.45</v>
      </c>
      <c r="F143">
        <v>356.85</v>
      </c>
    </row>
    <row r="144" spans="1:6" x14ac:dyDescent="0.25">
      <c r="A144" s="11" t="s">
        <v>14</v>
      </c>
      <c r="B144" s="11" t="s">
        <v>632</v>
      </c>
      <c r="C144" s="11" t="s">
        <v>633</v>
      </c>
      <c r="D144">
        <v>2131</v>
      </c>
      <c r="E144">
        <v>0.45</v>
      </c>
      <c r="F144">
        <v>958.95</v>
      </c>
    </row>
    <row r="145" spans="1:6" x14ac:dyDescent="0.25">
      <c r="A145" s="11" t="s">
        <v>14</v>
      </c>
      <c r="B145" s="11" t="s">
        <v>700</v>
      </c>
      <c r="C145" s="11" t="s">
        <v>701</v>
      </c>
      <c r="D145">
        <v>1680</v>
      </c>
      <c r="E145">
        <v>0.45</v>
      </c>
      <c r="F145">
        <v>756</v>
      </c>
    </row>
    <row r="146" spans="1:6" x14ac:dyDescent="0.25">
      <c r="A146" s="11" t="s">
        <v>14</v>
      </c>
      <c r="B146" s="11" t="s">
        <v>634</v>
      </c>
      <c r="C146" s="11" t="s">
        <v>635</v>
      </c>
      <c r="D146">
        <v>1783</v>
      </c>
      <c r="E146">
        <v>0.45</v>
      </c>
      <c r="F146">
        <v>802.35</v>
      </c>
    </row>
    <row r="147" spans="1:6" x14ac:dyDescent="0.25">
      <c r="A147" s="11" t="s">
        <v>14</v>
      </c>
      <c r="B147" s="11" t="s">
        <v>688</v>
      </c>
      <c r="C147" s="11" t="s">
        <v>635</v>
      </c>
      <c r="D147">
        <v>792</v>
      </c>
      <c r="E147">
        <v>0.45</v>
      </c>
      <c r="F147">
        <v>356.4</v>
      </c>
    </row>
    <row r="148" spans="1:6" x14ac:dyDescent="0.25">
      <c r="A148" s="11" t="s">
        <v>14</v>
      </c>
      <c r="B148" s="11" t="s">
        <v>636</v>
      </c>
      <c r="C148" s="11" t="s">
        <v>635</v>
      </c>
      <c r="D148">
        <v>1128</v>
      </c>
      <c r="E148">
        <v>0.45</v>
      </c>
      <c r="F148">
        <v>507.6</v>
      </c>
    </row>
    <row r="149" spans="1:6" x14ac:dyDescent="0.25">
      <c r="A149" s="11" t="s">
        <v>14</v>
      </c>
      <c r="B149" s="11" t="s">
        <v>637</v>
      </c>
      <c r="C149" s="11" t="s">
        <v>638</v>
      </c>
      <c r="D149">
        <v>2550</v>
      </c>
      <c r="E149">
        <v>0.45</v>
      </c>
      <c r="F149">
        <v>1147.5</v>
      </c>
    </row>
    <row r="150" spans="1:6" x14ac:dyDescent="0.25">
      <c r="A150" s="11" t="s">
        <v>14</v>
      </c>
      <c r="B150" s="11" t="s">
        <v>639</v>
      </c>
      <c r="C150" s="11" t="s">
        <v>638</v>
      </c>
      <c r="D150">
        <v>1627</v>
      </c>
      <c r="E150">
        <v>0.45</v>
      </c>
      <c r="F150">
        <v>732.15</v>
      </c>
    </row>
    <row r="151" spans="1:6" x14ac:dyDescent="0.25">
      <c r="A151" s="11" t="s">
        <v>14</v>
      </c>
      <c r="B151" s="11" t="s">
        <v>640</v>
      </c>
      <c r="C151" s="11" t="s">
        <v>635</v>
      </c>
      <c r="D151">
        <v>1752</v>
      </c>
      <c r="E151">
        <v>0.45</v>
      </c>
      <c r="F151">
        <v>788.4</v>
      </c>
    </row>
    <row r="152" spans="1:6" x14ac:dyDescent="0.25">
      <c r="A152" s="11" t="s">
        <v>14</v>
      </c>
      <c r="B152" s="11" t="s">
        <v>643</v>
      </c>
      <c r="C152" s="11" t="s">
        <v>644</v>
      </c>
      <c r="D152">
        <v>510</v>
      </c>
      <c r="E152">
        <v>0.45</v>
      </c>
      <c r="F152">
        <v>229.5</v>
      </c>
    </row>
    <row r="153" spans="1:6" x14ac:dyDescent="0.25">
      <c r="A153" s="11" t="s">
        <v>14</v>
      </c>
      <c r="B153" s="11" t="s">
        <v>645</v>
      </c>
      <c r="C153" s="11" t="s">
        <v>646</v>
      </c>
      <c r="D153">
        <v>510</v>
      </c>
      <c r="E153">
        <v>0.45</v>
      </c>
      <c r="F153">
        <v>229.5</v>
      </c>
    </row>
    <row r="154" spans="1:6" x14ac:dyDescent="0.25">
      <c r="A154" s="11" t="s">
        <v>14</v>
      </c>
      <c r="B154" s="11" t="s">
        <v>647</v>
      </c>
      <c r="C154" s="11" t="s">
        <v>648</v>
      </c>
      <c r="D154">
        <v>2426</v>
      </c>
      <c r="E154">
        <v>0.45</v>
      </c>
      <c r="F154">
        <v>1091.7</v>
      </c>
    </row>
    <row r="155" spans="1:6" x14ac:dyDescent="0.25">
      <c r="A155" s="11" t="s">
        <v>14</v>
      </c>
      <c r="B155" s="11" t="s">
        <v>732</v>
      </c>
      <c r="C155" s="11" t="s">
        <v>721</v>
      </c>
      <c r="D155">
        <v>-225</v>
      </c>
      <c r="E155">
        <v>0.45</v>
      </c>
      <c r="F155">
        <v>-101.25</v>
      </c>
    </row>
    <row r="156" spans="1:6" x14ac:dyDescent="0.25">
      <c r="A156" s="11" t="s">
        <v>585</v>
      </c>
      <c r="B156">
        <v>101554.5</v>
      </c>
      <c r="C156">
        <v>0.45</v>
      </c>
      <c r="D156">
        <v>45699.525000000001</v>
      </c>
    </row>
    <row r="157" spans="1:6" x14ac:dyDescent="0.25">
      <c r="A157" s="11" t="s">
        <v>589</v>
      </c>
    </row>
    <row r="158" spans="1:6" x14ac:dyDescent="0.25">
      <c r="A158" s="11" t="s">
        <v>14</v>
      </c>
      <c r="B158" s="11" t="s">
        <v>628</v>
      </c>
      <c r="C158" s="11" t="s">
        <v>629</v>
      </c>
      <c r="D158">
        <v>1762</v>
      </c>
      <c r="E158">
        <v>78</v>
      </c>
      <c r="F158">
        <v>137436</v>
      </c>
    </row>
    <row r="159" spans="1:6" x14ac:dyDescent="0.25">
      <c r="A159" s="11" t="s">
        <v>590</v>
      </c>
      <c r="B159">
        <v>1762</v>
      </c>
      <c r="C159">
        <v>78</v>
      </c>
      <c r="D159">
        <v>137436</v>
      </c>
    </row>
    <row r="160" spans="1:6" x14ac:dyDescent="0.25">
      <c r="A160" s="11" t="s">
        <v>733</v>
      </c>
    </row>
    <row r="161" spans="1:6" x14ac:dyDescent="0.25">
      <c r="A161" s="11" t="s">
        <v>14</v>
      </c>
      <c r="B161" s="11" t="s">
        <v>713</v>
      </c>
      <c r="C161" s="11" t="s">
        <v>682</v>
      </c>
      <c r="D161">
        <v>2161</v>
      </c>
      <c r="E161">
        <v>84.71</v>
      </c>
      <c r="F161">
        <v>183058.31</v>
      </c>
    </row>
    <row r="162" spans="1:6" x14ac:dyDescent="0.25">
      <c r="A162" s="11" t="s">
        <v>734</v>
      </c>
      <c r="B162">
        <v>2161</v>
      </c>
      <c r="C162">
        <v>84.71</v>
      </c>
      <c r="D162">
        <v>183058.31</v>
      </c>
    </row>
    <row r="163" spans="1:6" x14ac:dyDescent="0.25">
      <c r="A163" s="11" t="s">
        <v>291</v>
      </c>
    </row>
    <row r="164" spans="1:6" x14ac:dyDescent="0.25">
      <c r="A164" s="11" t="s">
        <v>14</v>
      </c>
      <c r="B164" s="11" t="s">
        <v>735</v>
      </c>
      <c r="C164" s="11" t="s">
        <v>699</v>
      </c>
      <c r="D164">
        <v>216</v>
      </c>
      <c r="E164">
        <v>106.79</v>
      </c>
      <c r="F164">
        <v>23066.639999999999</v>
      </c>
    </row>
    <row r="165" spans="1:6" x14ac:dyDescent="0.25">
      <c r="A165" s="11" t="s">
        <v>14</v>
      </c>
      <c r="B165" s="11" t="s">
        <v>630</v>
      </c>
      <c r="C165" s="11" t="s">
        <v>631</v>
      </c>
      <c r="D165">
        <v>282</v>
      </c>
      <c r="E165">
        <v>106.79</v>
      </c>
      <c r="F165">
        <v>30114.78</v>
      </c>
    </row>
    <row r="166" spans="1:6" x14ac:dyDescent="0.25">
      <c r="A166" s="11" t="s">
        <v>14</v>
      </c>
      <c r="B166" s="11" t="s">
        <v>649</v>
      </c>
      <c r="C166" s="11" t="s">
        <v>650</v>
      </c>
      <c r="D166">
        <v>-216</v>
      </c>
      <c r="E166">
        <v>106.79</v>
      </c>
      <c r="F166">
        <v>-23066.639999999999</v>
      </c>
    </row>
    <row r="167" spans="1:6" x14ac:dyDescent="0.25">
      <c r="A167" s="11" t="s">
        <v>295</v>
      </c>
      <c r="B167">
        <v>282</v>
      </c>
      <c r="C167">
        <v>106.79</v>
      </c>
      <c r="D167">
        <v>30114.78</v>
      </c>
    </row>
    <row r="168" spans="1:6" x14ac:dyDescent="0.25">
      <c r="A168" s="11" t="s">
        <v>296</v>
      </c>
    </row>
    <row r="169" spans="1:6" x14ac:dyDescent="0.25">
      <c r="A169" s="11" t="s">
        <v>14</v>
      </c>
      <c r="B169" s="11" t="s">
        <v>703</v>
      </c>
      <c r="C169" s="11" t="s">
        <v>662</v>
      </c>
      <c r="D169">
        <v>1355</v>
      </c>
      <c r="E169">
        <v>81.27</v>
      </c>
      <c r="F169">
        <v>110120.85</v>
      </c>
    </row>
    <row r="170" spans="1:6" x14ac:dyDescent="0.25">
      <c r="A170" s="11" t="s">
        <v>14</v>
      </c>
      <c r="B170" s="11" t="s">
        <v>704</v>
      </c>
      <c r="C170" s="11" t="s">
        <v>705</v>
      </c>
      <c r="D170">
        <v>2290</v>
      </c>
      <c r="E170">
        <v>81.27</v>
      </c>
      <c r="F170">
        <v>186108.3</v>
      </c>
    </row>
    <row r="171" spans="1:6" x14ac:dyDescent="0.25">
      <c r="A171" s="11" t="s">
        <v>14</v>
      </c>
      <c r="B171" s="11" t="s">
        <v>706</v>
      </c>
      <c r="C171" s="11" t="s">
        <v>680</v>
      </c>
      <c r="D171">
        <v>2097.5</v>
      </c>
      <c r="E171">
        <v>81.27</v>
      </c>
      <c r="F171">
        <v>170463.82500000001</v>
      </c>
    </row>
    <row r="172" spans="1:6" x14ac:dyDescent="0.25">
      <c r="A172" s="11" t="s">
        <v>14</v>
      </c>
      <c r="B172" s="11" t="s">
        <v>707</v>
      </c>
      <c r="C172" s="11" t="s">
        <v>664</v>
      </c>
      <c r="D172">
        <v>668</v>
      </c>
      <c r="E172">
        <v>81.27</v>
      </c>
      <c r="F172">
        <v>54288.36</v>
      </c>
    </row>
    <row r="173" spans="1:6" x14ac:dyDescent="0.25">
      <c r="A173" s="11" t="s">
        <v>14</v>
      </c>
      <c r="B173" s="11" t="s">
        <v>708</v>
      </c>
      <c r="C173" s="11" t="s">
        <v>709</v>
      </c>
      <c r="D173">
        <v>744</v>
      </c>
      <c r="E173">
        <v>81.27</v>
      </c>
      <c r="F173">
        <v>60464.88</v>
      </c>
    </row>
    <row r="174" spans="1:6" x14ac:dyDescent="0.25">
      <c r="A174" s="11" t="s">
        <v>14</v>
      </c>
      <c r="B174" s="11" t="s">
        <v>710</v>
      </c>
      <c r="C174" s="11" t="s">
        <v>711</v>
      </c>
      <c r="D174">
        <v>4594</v>
      </c>
      <c r="E174">
        <v>81.27</v>
      </c>
      <c r="F174">
        <v>373354.38</v>
      </c>
    </row>
    <row r="175" spans="1:6" x14ac:dyDescent="0.25">
      <c r="A175" s="11" t="s">
        <v>14</v>
      </c>
      <c r="B175" s="11" t="s">
        <v>712</v>
      </c>
      <c r="C175" s="11" t="s">
        <v>664</v>
      </c>
      <c r="D175">
        <v>2297</v>
      </c>
      <c r="E175">
        <v>81.27</v>
      </c>
      <c r="F175">
        <v>186677.19</v>
      </c>
    </row>
    <row r="176" spans="1:6" x14ac:dyDescent="0.25">
      <c r="A176" s="11" t="s">
        <v>14</v>
      </c>
      <c r="B176" s="11" t="s">
        <v>714</v>
      </c>
      <c r="C176" s="11" t="s">
        <v>715</v>
      </c>
      <c r="D176">
        <v>693</v>
      </c>
      <c r="E176">
        <v>81.27</v>
      </c>
      <c r="F176">
        <v>56320.11</v>
      </c>
    </row>
    <row r="177" spans="1:6" x14ac:dyDescent="0.25">
      <c r="A177" s="11" t="s">
        <v>14</v>
      </c>
      <c r="B177" s="11" t="s">
        <v>716</v>
      </c>
      <c r="C177" s="11" t="s">
        <v>717</v>
      </c>
      <c r="D177">
        <v>3153</v>
      </c>
      <c r="E177">
        <v>81.27</v>
      </c>
      <c r="F177">
        <v>256244.31</v>
      </c>
    </row>
    <row r="178" spans="1:6" x14ac:dyDescent="0.25">
      <c r="A178" s="11" t="s">
        <v>14</v>
      </c>
      <c r="B178" s="11" t="s">
        <v>718</v>
      </c>
      <c r="C178" s="11" t="s">
        <v>719</v>
      </c>
      <c r="D178">
        <v>1967</v>
      </c>
      <c r="E178">
        <v>81.27</v>
      </c>
      <c r="F178">
        <v>159858.09</v>
      </c>
    </row>
    <row r="179" spans="1:6" x14ac:dyDescent="0.25">
      <c r="A179" s="11" t="s">
        <v>14</v>
      </c>
      <c r="B179" s="11" t="s">
        <v>720</v>
      </c>
      <c r="C179" s="11" t="s">
        <v>721</v>
      </c>
      <c r="D179">
        <v>225</v>
      </c>
      <c r="E179">
        <v>81.27</v>
      </c>
      <c r="F179">
        <v>18285.75</v>
      </c>
    </row>
    <row r="180" spans="1:6" x14ac:dyDescent="0.25">
      <c r="A180" s="11" t="s">
        <v>14</v>
      </c>
      <c r="B180" s="11" t="s">
        <v>722</v>
      </c>
      <c r="C180" s="11" t="s">
        <v>697</v>
      </c>
      <c r="D180">
        <v>1148</v>
      </c>
      <c r="E180">
        <v>81.27</v>
      </c>
      <c r="F180">
        <v>93297.96</v>
      </c>
    </row>
    <row r="181" spans="1:6" x14ac:dyDescent="0.25">
      <c r="A181" s="11" t="s">
        <v>14</v>
      </c>
      <c r="B181" s="11" t="s">
        <v>723</v>
      </c>
      <c r="C181" s="11" t="s">
        <v>666</v>
      </c>
      <c r="D181">
        <v>2098</v>
      </c>
      <c r="E181">
        <v>81.27</v>
      </c>
      <c r="F181">
        <v>170504.46</v>
      </c>
    </row>
    <row r="182" spans="1:6" x14ac:dyDescent="0.25">
      <c r="A182" s="11" t="s">
        <v>14</v>
      </c>
      <c r="B182" s="11" t="s">
        <v>724</v>
      </c>
      <c r="C182" s="11" t="s">
        <v>725</v>
      </c>
      <c r="D182">
        <v>1402</v>
      </c>
      <c r="E182">
        <v>81.27</v>
      </c>
      <c r="F182">
        <v>113940.54</v>
      </c>
    </row>
    <row r="183" spans="1:6" x14ac:dyDescent="0.25">
      <c r="A183" s="11" t="s">
        <v>14</v>
      </c>
      <c r="B183" s="11" t="s">
        <v>726</v>
      </c>
      <c r="C183" s="11" t="s">
        <v>727</v>
      </c>
      <c r="D183">
        <v>2612</v>
      </c>
      <c r="E183">
        <v>81.27</v>
      </c>
      <c r="F183">
        <v>212277.24</v>
      </c>
    </row>
    <row r="184" spans="1:6" x14ac:dyDescent="0.25">
      <c r="A184" s="11" t="s">
        <v>14</v>
      </c>
      <c r="B184" s="11" t="s">
        <v>728</v>
      </c>
      <c r="C184" s="11" t="s">
        <v>668</v>
      </c>
      <c r="D184">
        <v>1837</v>
      </c>
      <c r="E184">
        <v>81.27</v>
      </c>
      <c r="F184">
        <v>149292.99</v>
      </c>
    </row>
    <row r="185" spans="1:6" x14ac:dyDescent="0.25">
      <c r="A185" s="11" t="s">
        <v>14</v>
      </c>
      <c r="B185" s="11" t="s">
        <v>729</v>
      </c>
      <c r="C185" s="11" t="s">
        <v>730</v>
      </c>
      <c r="D185">
        <v>225</v>
      </c>
      <c r="E185">
        <v>81.27</v>
      </c>
      <c r="F185">
        <v>18285.75</v>
      </c>
    </row>
    <row r="186" spans="1:6" x14ac:dyDescent="0.25">
      <c r="A186" s="11" t="s">
        <v>14</v>
      </c>
      <c r="B186" s="11" t="s">
        <v>731</v>
      </c>
      <c r="C186" s="11" t="s">
        <v>730</v>
      </c>
      <c r="D186">
        <v>2588</v>
      </c>
      <c r="E186">
        <v>81.27</v>
      </c>
      <c r="F186">
        <v>210326.76</v>
      </c>
    </row>
    <row r="187" spans="1:6" x14ac:dyDescent="0.25">
      <c r="A187" s="11" t="s">
        <v>14</v>
      </c>
      <c r="B187" s="11" t="s">
        <v>736</v>
      </c>
      <c r="C187" s="11" t="s">
        <v>725</v>
      </c>
      <c r="D187">
        <v>180</v>
      </c>
      <c r="E187">
        <v>81.27</v>
      </c>
      <c r="F187">
        <v>14628.6</v>
      </c>
    </row>
    <row r="188" spans="1:6" x14ac:dyDescent="0.25">
      <c r="A188" s="11" t="s">
        <v>14</v>
      </c>
      <c r="B188" s="11" t="s">
        <v>732</v>
      </c>
      <c r="C188" s="11" t="s">
        <v>721</v>
      </c>
      <c r="D188">
        <v>-225</v>
      </c>
      <c r="E188">
        <v>81.27</v>
      </c>
      <c r="F188">
        <v>-18285.75</v>
      </c>
    </row>
    <row r="189" spans="1:6" x14ac:dyDescent="0.25">
      <c r="A189" s="11" t="s">
        <v>307</v>
      </c>
      <c r="B189">
        <v>31948.5</v>
      </c>
      <c r="C189">
        <v>81.27</v>
      </c>
      <c r="D189">
        <v>2596454.5950000002</v>
      </c>
    </row>
    <row r="190" spans="1:6" x14ac:dyDescent="0.25">
      <c r="A190" s="11" t="s">
        <v>337</v>
      </c>
      <c r="B190">
        <v>8562389.4299999997</v>
      </c>
    </row>
    <row r="191" spans="1:6" x14ac:dyDescent="0.25">
      <c r="A191" s="11" t="s">
        <v>338</v>
      </c>
      <c r="B191" s="11" t="s">
        <v>14</v>
      </c>
      <c r="C191" s="11" t="s">
        <v>14</v>
      </c>
      <c r="D191">
        <v>8562389.4299999997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4F90-DEBC-485A-A454-D2990ADF5300}">
  <dimension ref="A1:F325"/>
  <sheetViews>
    <sheetView workbookViewId="0">
      <selection activeCell="B2" sqref="B2"/>
    </sheetView>
  </sheetViews>
  <sheetFormatPr defaultRowHeight="15" x14ac:dyDescent="0.25"/>
  <cols>
    <col min="1" max="1" width="54.28515625" bestFit="1" customWidth="1"/>
    <col min="2" max="5" width="12" bestFit="1" customWidth="1"/>
    <col min="6" max="6" width="11" bestFit="1" customWidth="1"/>
  </cols>
  <sheetData>
    <row r="1" spans="1:6" x14ac:dyDescent="0.25">
      <c r="A1" t="s">
        <v>621</v>
      </c>
      <c r="B1" s="12">
        <f>SUM(B17,B30,B36,B52,B61,B75,B82,B95,B100,B108,B139,B143,B150,B161,B176,B284,B287,B290,B295,B320,B323)</f>
        <v>286703</v>
      </c>
    </row>
    <row r="2" spans="1:6" x14ac:dyDescent="0.25">
      <c r="A2" t="s">
        <v>342</v>
      </c>
      <c r="B2" s="12">
        <v>0</v>
      </c>
    </row>
    <row r="3" spans="1:6" x14ac:dyDescent="0.25">
      <c r="A3" t="s">
        <v>622</v>
      </c>
      <c r="B3" s="12">
        <f>-B320</f>
        <v>-63867.5</v>
      </c>
    </row>
    <row r="4" spans="1:6" ht="15.75" thickBot="1" x14ac:dyDescent="0.3">
      <c r="A4" t="s">
        <v>341</v>
      </c>
      <c r="B4" s="13">
        <f>SUM(B1:B3)</f>
        <v>222835.5</v>
      </c>
    </row>
    <row r="5" spans="1:6" ht="15.75" thickTop="1" x14ac:dyDescent="0.25"/>
    <row r="6" spans="1:6" x14ac:dyDescent="0.25">
      <c r="A6" s="11" t="s">
        <v>12</v>
      </c>
    </row>
    <row r="7" spans="1:6" x14ac:dyDescent="0.25">
      <c r="A7" s="11" t="s">
        <v>343</v>
      </c>
    </row>
    <row r="8" spans="1:6" x14ac:dyDescent="0.25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 t="s">
        <v>19</v>
      </c>
    </row>
    <row r="9" spans="1:6" x14ac:dyDescent="0.25">
      <c r="A9" s="11" t="s">
        <v>20</v>
      </c>
    </row>
    <row r="10" spans="1:6" x14ac:dyDescent="0.25">
      <c r="A10" s="11" t="s">
        <v>344</v>
      </c>
    </row>
    <row r="11" spans="1:6" x14ac:dyDescent="0.25">
      <c r="A11" s="11" t="s">
        <v>14</v>
      </c>
      <c r="B11" s="11" t="s">
        <v>345</v>
      </c>
      <c r="C11" s="11" t="s">
        <v>346</v>
      </c>
      <c r="D11" s="11" t="s">
        <v>14</v>
      </c>
      <c r="E11" s="11" t="s">
        <v>14</v>
      </c>
      <c r="F11">
        <v>362.25</v>
      </c>
    </row>
    <row r="12" spans="1:6" x14ac:dyDescent="0.25">
      <c r="A12" s="11" t="s">
        <v>14</v>
      </c>
      <c r="B12" s="11" t="s">
        <v>347</v>
      </c>
      <c r="C12" s="11" t="s">
        <v>348</v>
      </c>
      <c r="D12" s="11" t="s">
        <v>14</v>
      </c>
      <c r="E12" s="11" t="s">
        <v>14</v>
      </c>
      <c r="F12">
        <v>762.7</v>
      </c>
    </row>
    <row r="13" spans="1:6" x14ac:dyDescent="0.25">
      <c r="A13" s="11" t="s">
        <v>14</v>
      </c>
      <c r="B13" s="11" t="s">
        <v>349</v>
      </c>
      <c r="C13" s="11" t="s">
        <v>348</v>
      </c>
      <c r="D13" s="11" t="s">
        <v>14</v>
      </c>
      <c r="E13" s="11" t="s">
        <v>14</v>
      </c>
      <c r="F13">
        <v>361.81</v>
      </c>
    </row>
    <row r="14" spans="1:6" x14ac:dyDescent="0.25">
      <c r="A14" s="11" t="s">
        <v>350</v>
      </c>
      <c r="B14" s="11" t="s">
        <v>14</v>
      </c>
      <c r="C14" s="11" t="s">
        <v>14</v>
      </c>
      <c r="D14">
        <v>1486.76</v>
      </c>
    </row>
    <row r="15" spans="1:6" x14ac:dyDescent="0.25">
      <c r="A15" s="11" t="s">
        <v>351</v>
      </c>
    </row>
    <row r="16" spans="1:6" x14ac:dyDescent="0.25">
      <c r="A16" s="11" t="s">
        <v>14</v>
      </c>
      <c r="B16" s="11" t="s">
        <v>352</v>
      </c>
      <c r="C16" s="11" t="s">
        <v>353</v>
      </c>
      <c r="D16">
        <v>1491</v>
      </c>
      <c r="E16">
        <v>90.93</v>
      </c>
      <c r="F16">
        <v>135576.63</v>
      </c>
    </row>
    <row r="17" spans="1:6" x14ac:dyDescent="0.25">
      <c r="A17" s="11" t="s">
        <v>354</v>
      </c>
      <c r="B17">
        <v>1491</v>
      </c>
      <c r="C17">
        <v>90.93</v>
      </c>
      <c r="D17">
        <v>135576.63</v>
      </c>
    </row>
    <row r="18" spans="1:6" x14ac:dyDescent="0.25">
      <c r="A18" s="11" t="s">
        <v>25</v>
      </c>
    </row>
    <row r="19" spans="1:6" x14ac:dyDescent="0.25">
      <c r="A19" s="11" t="s">
        <v>14</v>
      </c>
      <c r="B19" s="11" t="s">
        <v>355</v>
      </c>
      <c r="C19" s="11" t="s">
        <v>356</v>
      </c>
      <c r="D19">
        <v>1123</v>
      </c>
      <c r="E19">
        <v>74.92</v>
      </c>
      <c r="F19">
        <v>84135.16</v>
      </c>
    </row>
    <row r="20" spans="1:6" x14ac:dyDescent="0.25">
      <c r="A20" s="11" t="s">
        <v>14</v>
      </c>
      <c r="B20" s="11" t="s">
        <v>357</v>
      </c>
      <c r="C20" s="11" t="s">
        <v>358</v>
      </c>
      <c r="D20">
        <v>537.5</v>
      </c>
      <c r="E20">
        <v>74.92</v>
      </c>
      <c r="F20">
        <v>40269.5</v>
      </c>
    </row>
    <row r="21" spans="1:6" x14ac:dyDescent="0.25">
      <c r="A21" s="11" t="s">
        <v>14</v>
      </c>
      <c r="B21" s="11" t="s">
        <v>359</v>
      </c>
      <c r="C21" s="11" t="s">
        <v>360</v>
      </c>
      <c r="D21">
        <v>1557</v>
      </c>
      <c r="E21">
        <v>74.92</v>
      </c>
      <c r="F21">
        <v>116650.44</v>
      </c>
    </row>
    <row r="22" spans="1:6" x14ac:dyDescent="0.25">
      <c r="A22" s="11" t="s">
        <v>14</v>
      </c>
      <c r="B22" s="11" t="s">
        <v>361</v>
      </c>
      <c r="C22" s="11" t="s">
        <v>362</v>
      </c>
      <c r="D22">
        <v>1167</v>
      </c>
      <c r="E22">
        <v>74.92</v>
      </c>
      <c r="F22">
        <v>87431.64</v>
      </c>
    </row>
    <row r="23" spans="1:6" x14ac:dyDescent="0.25">
      <c r="A23" s="11" t="s">
        <v>14</v>
      </c>
      <c r="B23" s="11" t="s">
        <v>363</v>
      </c>
      <c r="C23" s="11" t="s">
        <v>364</v>
      </c>
      <c r="D23">
        <v>2742</v>
      </c>
      <c r="E23">
        <v>74.92</v>
      </c>
      <c r="F23">
        <v>205430.64</v>
      </c>
    </row>
    <row r="24" spans="1:6" x14ac:dyDescent="0.25">
      <c r="A24" s="11" t="s">
        <v>14</v>
      </c>
      <c r="B24" s="11" t="s">
        <v>365</v>
      </c>
      <c r="C24" s="11" t="s">
        <v>366</v>
      </c>
      <c r="D24">
        <v>1362</v>
      </c>
      <c r="E24">
        <v>74.92</v>
      </c>
      <c r="F24">
        <v>102041.04</v>
      </c>
    </row>
    <row r="25" spans="1:6" x14ac:dyDescent="0.25">
      <c r="A25" s="11" t="s">
        <v>14</v>
      </c>
      <c r="B25" s="11" t="s">
        <v>367</v>
      </c>
      <c r="C25" s="11" t="s">
        <v>368</v>
      </c>
      <c r="D25">
        <v>1166</v>
      </c>
      <c r="E25">
        <v>74.92</v>
      </c>
      <c r="F25">
        <v>87356.72</v>
      </c>
    </row>
    <row r="26" spans="1:6" x14ac:dyDescent="0.25">
      <c r="A26" s="11" t="s">
        <v>14</v>
      </c>
      <c r="B26" s="11" t="s">
        <v>369</v>
      </c>
      <c r="C26" s="11" t="s">
        <v>370</v>
      </c>
      <c r="D26">
        <v>601</v>
      </c>
      <c r="E26">
        <v>74.92</v>
      </c>
      <c r="F26">
        <v>45026.92</v>
      </c>
    </row>
    <row r="27" spans="1:6" x14ac:dyDescent="0.25">
      <c r="A27" s="11" t="s">
        <v>14</v>
      </c>
      <c r="B27" s="11" t="s">
        <v>371</v>
      </c>
      <c r="C27" s="11" t="s">
        <v>372</v>
      </c>
      <c r="D27">
        <v>1775</v>
      </c>
      <c r="E27">
        <v>74.92</v>
      </c>
      <c r="F27">
        <v>132983</v>
      </c>
    </row>
    <row r="28" spans="1:6" x14ac:dyDescent="0.25">
      <c r="A28" s="11" t="s">
        <v>14</v>
      </c>
      <c r="B28" s="11" t="s">
        <v>373</v>
      </c>
      <c r="C28" s="11" t="s">
        <v>374</v>
      </c>
      <c r="D28">
        <v>1256</v>
      </c>
      <c r="E28">
        <v>74.92</v>
      </c>
      <c r="F28">
        <v>94099.520000000004</v>
      </c>
    </row>
    <row r="29" spans="1:6" x14ac:dyDescent="0.25">
      <c r="A29" s="11" t="s">
        <v>14</v>
      </c>
      <c r="B29" s="11" t="s">
        <v>375</v>
      </c>
      <c r="C29" s="11" t="s">
        <v>376</v>
      </c>
      <c r="D29">
        <v>-218.5</v>
      </c>
      <c r="E29">
        <v>74.92</v>
      </c>
      <c r="F29">
        <v>-16370.02</v>
      </c>
    </row>
    <row r="30" spans="1:6" x14ac:dyDescent="0.25">
      <c r="A30" s="11" t="s">
        <v>44</v>
      </c>
      <c r="B30">
        <v>13068</v>
      </c>
      <c r="C30">
        <v>74.92</v>
      </c>
      <c r="D30">
        <v>979054.56</v>
      </c>
    </row>
    <row r="31" spans="1:6" x14ac:dyDescent="0.25">
      <c r="A31" s="11" t="s">
        <v>45</v>
      </c>
    </row>
    <row r="32" spans="1:6" x14ac:dyDescent="0.25">
      <c r="A32" s="11" t="s">
        <v>14</v>
      </c>
      <c r="B32" s="11" t="s">
        <v>377</v>
      </c>
      <c r="C32" s="11" t="s">
        <v>378</v>
      </c>
      <c r="D32">
        <v>292</v>
      </c>
      <c r="E32">
        <v>78.27</v>
      </c>
      <c r="F32">
        <v>22854.84</v>
      </c>
    </row>
    <row r="33" spans="1:6" x14ac:dyDescent="0.25">
      <c r="A33" s="11" t="s">
        <v>14</v>
      </c>
      <c r="B33" s="11" t="s">
        <v>379</v>
      </c>
      <c r="C33" s="11" t="s">
        <v>346</v>
      </c>
      <c r="D33">
        <v>226</v>
      </c>
      <c r="E33">
        <v>78.27</v>
      </c>
      <c r="F33">
        <v>17689.02</v>
      </c>
    </row>
    <row r="34" spans="1:6" x14ac:dyDescent="0.25">
      <c r="A34" s="11" t="s">
        <v>14</v>
      </c>
      <c r="B34" s="11" t="s">
        <v>380</v>
      </c>
      <c r="C34" s="11" t="s">
        <v>381</v>
      </c>
      <c r="D34">
        <v>442</v>
      </c>
      <c r="E34">
        <v>78.27</v>
      </c>
      <c r="F34">
        <v>34595.339999999997</v>
      </c>
    </row>
    <row r="35" spans="1:6" x14ac:dyDescent="0.25">
      <c r="A35" s="11" t="s">
        <v>14</v>
      </c>
      <c r="B35" s="11" t="s">
        <v>382</v>
      </c>
      <c r="C35" s="11" t="s">
        <v>374</v>
      </c>
      <c r="D35">
        <v>211</v>
      </c>
      <c r="E35">
        <v>78.27</v>
      </c>
      <c r="F35">
        <v>16514.97</v>
      </c>
    </row>
    <row r="36" spans="1:6" x14ac:dyDescent="0.25">
      <c r="A36" s="11" t="s">
        <v>50</v>
      </c>
      <c r="B36">
        <v>1171</v>
      </c>
      <c r="C36">
        <v>78.27</v>
      </c>
      <c r="D36">
        <v>91654.17</v>
      </c>
    </row>
    <row r="37" spans="1:6" x14ac:dyDescent="0.25">
      <c r="A37" s="11" t="s">
        <v>55</v>
      </c>
    </row>
    <row r="38" spans="1:6" x14ac:dyDescent="0.25">
      <c r="A38" s="11" t="s">
        <v>14</v>
      </c>
      <c r="B38" s="11" t="s">
        <v>383</v>
      </c>
      <c r="C38" s="11" t="s">
        <v>384</v>
      </c>
      <c r="D38">
        <v>585</v>
      </c>
      <c r="E38">
        <v>78.86</v>
      </c>
      <c r="F38">
        <v>46133.1</v>
      </c>
    </row>
    <row r="39" spans="1:6" x14ac:dyDescent="0.25">
      <c r="A39" s="11" t="s">
        <v>14</v>
      </c>
      <c r="B39" s="11" t="s">
        <v>385</v>
      </c>
      <c r="C39" s="11" t="s">
        <v>386</v>
      </c>
      <c r="D39">
        <v>328</v>
      </c>
      <c r="E39">
        <v>78.86</v>
      </c>
      <c r="F39">
        <v>25866.080000000002</v>
      </c>
    </row>
    <row r="40" spans="1:6" x14ac:dyDescent="0.25">
      <c r="A40" s="11" t="s">
        <v>14</v>
      </c>
      <c r="B40" s="11" t="s">
        <v>387</v>
      </c>
      <c r="C40" s="11" t="s">
        <v>388</v>
      </c>
      <c r="D40">
        <v>1240</v>
      </c>
      <c r="E40">
        <v>78.86</v>
      </c>
      <c r="F40">
        <v>97786.4</v>
      </c>
    </row>
    <row r="41" spans="1:6" x14ac:dyDescent="0.25">
      <c r="A41" s="11" t="s">
        <v>14</v>
      </c>
      <c r="B41" s="11" t="s">
        <v>389</v>
      </c>
      <c r="C41" s="11" t="s">
        <v>390</v>
      </c>
      <c r="D41">
        <v>554</v>
      </c>
      <c r="E41">
        <v>78.86</v>
      </c>
      <c r="F41">
        <v>43688.44</v>
      </c>
    </row>
    <row r="42" spans="1:6" x14ac:dyDescent="0.25">
      <c r="A42" s="11" t="s">
        <v>14</v>
      </c>
      <c r="B42" s="11" t="s">
        <v>391</v>
      </c>
      <c r="C42" s="11" t="s">
        <v>392</v>
      </c>
      <c r="D42">
        <v>1313</v>
      </c>
      <c r="E42">
        <v>78.86</v>
      </c>
      <c r="F42">
        <v>103543.18</v>
      </c>
    </row>
    <row r="43" spans="1:6" x14ac:dyDescent="0.25">
      <c r="A43" s="11" t="s">
        <v>14</v>
      </c>
      <c r="B43" s="11" t="s">
        <v>393</v>
      </c>
      <c r="C43" s="11" t="s">
        <v>394</v>
      </c>
      <c r="D43">
        <v>968.5</v>
      </c>
      <c r="E43">
        <v>78.86</v>
      </c>
      <c r="F43">
        <v>76375.91</v>
      </c>
    </row>
    <row r="44" spans="1:6" x14ac:dyDescent="0.25">
      <c r="A44" s="11" t="s">
        <v>14</v>
      </c>
      <c r="B44" s="11" t="s">
        <v>395</v>
      </c>
      <c r="C44" s="11" t="s">
        <v>396</v>
      </c>
      <c r="D44">
        <v>1067</v>
      </c>
      <c r="E44">
        <v>78.86</v>
      </c>
      <c r="F44">
        <v>84143.62</v>
      </c>
    </row>
    <row r="45" spans="1:6" x14ac:dyDescent="0.25">
      <c r="A45" s="11" t="s">
        <v>14</v>
      </c>
      <c r="B45" s="11" t="s">
        <v>397</v>
      </c>
      <c r="C45" s="11" t="s">
        <v>398</v>
      </c>
      <c r="D45">
        <v>2844</v>
      </c>
      <c r="E45">
        <v>78.86</v>
      </c>
      <c r="F45">
        <v>224277.84</v>
      </c>
    </row>
    <row r="46" spans="1:6" x14ac:dyDescent="0.25">
      <c r="A46" s="11" t="s">
        <v>14</v>
      </c>
      <c r="B46" s="11" t="s">
        <v>399</v>
      </c>
      <c r="C46" s="11" t="s">
        <v>400</v>
      </c>
      <c r="D46">
        <v>2802</v>
      </c>
      <c r="E46">
        <v>78.86</v>
      </c>
      <c r="F46">
        <v>220965.72</v>
      </c>
    </row>
    <row r="47" spans="1:6" x14ac:dyDescent="0.25">
      <c r="A47" s="11" t="s">
        <v>14</v>
      </c>
      <c r="B47" s="11" t="s">
        <v>401</v>
      </c>
      <c r="C47" s="11" t="s">
        <v>402</v>
      </c>
      <c r="D47">
        <v>1117</v>
      </c>
      <c r="E47">
        <v>78.86</v>
      </c>
      <c r="F47">
        <v>88086.62</v>
      </c>
    </row>
    <row r="48" spans="1:6" x14ac:dyDescent="0.25">
      <c r="A48" s="11" t="s">
        <v>14</v>
      </c>
      <c r="B48" s="11" t="s">
        <v>403</v>
      </c>
      <c r="C48" s="11" t="s">
        <v>404</v>
      </c>
      <c r="D48">
        <v>408</v>
      </c>
      <c r="E48">
        <v>78.86</v>
      </c>
      <c r="F48">
        <v>32174.880000000001</v>
      </c>
    </row>
    <row r="49" spans="1:6" x14ac:dyDescent="0.25">
      <c r="A49" s="11" t="s">
        <v>14</v>
      </c>
      <c r="B49" s="11" t="s">
        <v>405</v>
      </c>
      <c r="C49" s="11" t="s">
        <v>406</v>
      </c>
      <c r="D49">
        <v>2480</v>
      </c>
      <c r="E49">
        <v>78.86</v>
      </c>
      <c r="F49">
        <v>195572.8</v>
      </c>
    </row>
    <row r="50" spans="1:6" x14ac:dyDescent="0.25">
      <c r="A50" s="11" t="s">
        <v>14</v>
      </c>
      <c r="B50" s="11" t="s">
        <v>407</v>
      </c>
      <c r="C50" s="11" t="s">
        <v>408</v>
      </c>
      <c r="D50">
        <v>2805</v>
      </c>
      <c r="E50">
        <v>78.86</v>
      </c>
      <c r="F50">
        <v>221202.3</v>
      </c>
    </row>
    <row r="51" spans="1:6" x14ac:dyDescent="0.25">
      <c r="A51" s="11" t="s">
        <v>14</v>
      </c>
      <c r="B51" s="11" t="s">
        <v>409</v>
      </c>
      <c r="C51" s="11" t="s">
        <v>384</v>
      </c>
      <c r="D51">
        <v>-171.5</v>
      </c>
      <c r="E51">
        <v>78.86</v>
      </c>
      <c r="F51">
        <v>-13524.49</v>
      </c>
    </row>
    <row r="52" spans="1:6" x14ac:dyDescent="0.25">
      <c r="A52" s="11" t="s">
        <v>87</v>
      </c>
      <c r="B52">
        <v>18340</v>
      </c>
      <c r="C52">
        <v>78.86</v>
      </c>
      <c r="D52">
        <v>1446292.4</v>
      </c>
    </row>
    <row r="53" spans="1:6" x14ac:dyDescent="0.25">
      <c r="A53" s="11" t="s">
        <v>410</v>
      </c>
    </row>
    <row r="54" spans="1:6" x14ac:dyDescent="0.25">
      <c r="A54" s="11" t="s">
        <v>14</v>
      </c>
      <c r="B54" s="11" t="s">
        <v>411</v>
      </c>
      <c r="C54" s="11" t="s">
        <v>412</v>
      </c>
      <c r="D54">
        <v>5265</v>
      </c>
      <c r="E54">
        <v>91.44</v>
      </c>
      <c r="F54">
        <v>481431.6</v>
      </c>
    </row>
    <row r="55" spans="1:6" x14ac:dyDescent="0.25">
      <c r="A55" s="11" t="s">
        <v>14</v>
      </c>
      <c r="B55" s="11" t="s">
        <v>413</v>
      </c>
      <c r="C55" s="11" t="s">
        <v>414</v>
      </c>
      <c r="D55">
        <v>843</v>
      </c>
      <c r="E55">
        <v>91.44</v>
      </c>
      <c r="F55">
        <v>77083.92</v>
      </c>
    </row>
    <row r="56" spans="1:6" x14ac:dyDescent="0.25">
      <c r="A56" s="11" t="s">
        <v>14</v>
      </c>
      <c r="B56" s="11" t="s">
        <v>415</v>
      </c>
      <c r="C56" s="11" t="s">
        <v>416</v>
      </c>
      <c r="D56">
        <v>2811</v>
      </c>
      <c r="E56">
        <v>91.44</v>
      </c>
      <c r="F56">
        <v>257037.84</v>
      </c>
    </row>
    <row r="57" spans="1:6" x14ac:dyDescent="0.25">
      <c r="A57" s="11" t="s">
        <v>14</v>
      </c>
      <c r="B57" s="11" t="s">
        <v>417</v>
      </c>
      <c r="C57" s="11" t="s">
        <v>418</v>
      </c>
      <c r="D57">
        <v>3332</v>
      </c>
      <c r="E57">
        <v>91.44</v>
      </c>
      <c r="F57">
        <v>304678.08</v>
      </c>
    </row>
    <row r="58" spans="1:6" x14ac:dyDescent="0.25">
      <c r="A58" s="11" t="s">
        <v>14</v>
      </c>
      <c r="B58" s="11" t="s">
        <v>419</v>
      </c>
      <c r="C58" s="11" t="s">
        <v>420</v>
      </c>
      <c r="D58">
        <v>974</v>
      </c>
      <c r="E58">
        <v>91.44</v>
      </c>
      <c r="F58">
        <v>89062.56</v>
      </c>
    </row>
    <row r="59" spans="1:6" x14ac:dyDescent="0.25">
      <c r="A59" s="11" t="s">
        <v>14</v>
      </c>
      <c r="B59" s="11" t="s">
        <v>421</v>
      </c>
      <c r="C59" s="11" t="s">
        <v>422</v>
      </c>
      <c r="D59">
        <v>288</v>
      </c>
      <c r="E59">
        <v>91.44</v>
      </c>
      <c r="F59">
        <v>26334.720000000001</v>
      </c>
    </row>
    <row r="60" spans="1:6" x14ac:dyDescent="0.25">
      <c r="A60" s="11" t="s">
        <v>14</v>
      </c>
      <c r="B60" s="11" t="s">
        <v>423</v>
      </c>
      <c r="C60" s="11" t="s">
        <v>422</v>
      </c>
      <c r="D60">
        <v>4243</v>
      </c>
      <c r="E60">
        <v>91.44</v>
      </c>
      <c r="F60">
        <v>387979.92</v>
      </c>
    </row>
    <row r="61" spans="1:6" x14ac:dyDescent="0.25">
      <c r="A61" s="11" t="s">
        <v>424</v>
      </c>
      <c r="B61">
        <v>17756</v>
      </c>
      <c r="C61">
        <v>91.44</v>
      </c>
      <c r="D61">
        <v>1623608.64</v>
      </c>
    </row>
    <row r="62" spans="1:6" x14ac:dyDescent="0.25">
      <c r="A62" s="11" t="s">
        <v>88</v>
      </c>
    </row>
    <row r="63" spans="1:6" x14ac:dyDescent="0.25">
      <c r="A63" s="11" t="s">
        <v>14</v>
      </c>
      <c r="B63" s="11" t="s">
        <v>425</v>
      </c>
      <c r="C63" s="11" t="s">
        <v>390</v>
      </c>
      <c r="D63">
        <v>2223</v>
      </c>
      <c r="E63">
        <v>75.31</v>
      </c>
      <c r="F63">
        <v>167414.13</v>
      </c>
    </row>
    <row r="64" spans="1:6" x14ac:dyDescent="0.25">
      <c r="A64" s="11" t="s">
        <v>14</v>
      </c>
      <c r="B64" s="11" t="s">
        <v>426</v>
      </c>
      <c r="C64" s="11" t="s">
        <v>427</v>
      </c>
      <c r="D64">
        <v>2017</v>
      </c>
      <c r="E64">
        <v>75.31</v>
      </c>
      <c r="F64">
        <v>151900.26999999999</v>
      </c>
    </row>
    <row r="65" spans="1:6" x14ac:dyDescent="0.25">
      <c r="A65" s="11" t="s">
        <v>14</v>
      </c>
      <c r="B65" s="11" t="s">
        <v>428</v>
      </c>
      <c r="C65" s="11" t="s">
        <v>429</v>
      </c>
      <c r="D65">
        <v>3175</v>
      </c>
      <c r="E65">
        <v>75.31</v>
      </c>
      <c r="F65">
        <v>239109.25</v>
      </c>
    </row>
    <row r="66" spans="1:6" x14ac:dyDescent="0.25">
      <c r="A66" s="11" t="s">
        <v>14</v>
      </c>
      <c r="B66" s="11" t="s">
        <v>430</v>
      </c>
      <c r="C66" s="11" t="s">
        <v>431</v>
      </c>
      <c r="D66">
        <v>2557</v>
      </c>
      <c r="E66">
        <v>75.31</v>
      </c>
      <c r="F66">
        <v>192567.67</v>
      </c>
    </row>
    <row r="67" spans="1:6" x14ac:dyDescent="0.25">
      <c r="A67" s="11" t="s">
        <v>14</v>
      </c>
      <c r="B67" s="11" t="s">
        <v>432</v>
      </c>
      <c r="C67" s="11" t="s">
        <v>433</v>
      </c>
      <c r="D67">
        <v>2417</v>
      </c>
      <c r="E67">
        <v>75.31</v>
      </c>
      <c r="F67">
        <v>182024.27</v>
      </c>
    </row>
    <row r="68" spans="1:6" x14ac:dyDescent="0.25">
      <c r="A68" s="11" t="s">
        <v>14</v>
      </c>
      <c r="B68" s="11" t="s">
        <v>434</v>
      </c>
      <c r="C68" s="11" t="s">
        <v>435</v>
      </c>
      <c r="D68">
        <v>677</v>
      </c>
      <c r="E68">
        <v>75.31</v>
      </c>
      <c r="F68">
        <v>50984.87</v>
      </c>
    </row>
    <row r="69" spans="1:6" x14ac:dyDescent="0.25">
      <c r="A69" s="11" t="s">
        <v>14</v>
      </c>
      <c r="B69" s="11" t="s">
        <v>436</v>
      </c>
      <c r="C69" s="11" t="s">
        <v>437</v>
      </c>
      <c r="D69">
        <v>5160</v>
      </c>
      <c r="E69">
        <v>75.31</v>
      </c>
      <c r="F69">
        <v>388599.6</v>
      </c>
    </row>
    <row r="70" spans="1:6" x14ac:dyDescent="0.25">
      <c r="A70" s="11" t="s">
        <v>14</v>
      </c>
      <c r="B70" s="11" t="s">
        <v>438</v>
      </c>
      <c r="C70" s="11" t="s">
        <v>366</v>
      </c>
      <c r="D70">
        <v>952</v>
      </c>
      <c r="E70">
        <v>75.31</v>
      </c>
      <c r="F70">
        <v>71695.12</v>
      </c>
    </row>
    <row r="71" spans="1:6" x14ac:dyDescent="0.25">
      <c r="A71" s="11" t="s">
        <v>14</v>
      </c>
      <c r="B71" s="11" t="s">
        <v>439</v>
      </c>
      <c r="C71" s="11" t="s">
        <v>440</v>
      </c>
      <c r="D71">
        <v>1961</v>
      </c>
      <c r="E71">
        <v>75.31</v>
      </c>
      <c r="F71">
        <v>147682.91</v>
      </c>
    </row>
    <row r="72" spans="1:6" x14ac:dyDescent="0.25">
      <c r="A72" s="11" t="s">
        <v>14</v>
      </c>
      <c r="B72" s="11" t="s">
        <v>441</v>
      </c>
      <c r="C72" s="11" t="s">
        <v>370</v>
      </c>
      <c r="D72">
        <v>3226</v>
      </c>
      <c r="E72">
        <v>75.31</v>
      </c>
      <c r="F72">
        <v>242950.06</v>
      </c>
    </row>
    <row r="73" spans="1:6" x14ac:dyDescent="0.25">
      <c r="A73" s="11" t="s">
        <v>14</v>
      </c>
      <c r="B73" s="11" t="s">
        <v>442</v>
      </c>
      <c r="C73" s="11" t="s">
        <v>406</v>
      </c>
      <c r="D73">
        <v>4996</v>
      </c>
      <c r="E73">
        <v>75.31</v>
      </c>
      <c r="F73">
        <v>376248.76</v>
      </c>
    </row>
    <row r="74" spans="1:6" x14ac:dyDescent="0.25">
      <c r="A74" s="11" t="s">
        <v>14</v>
      </c>
      <c r="B74" s="11" t="s">
        <v>443</v>
      </c>
      <c r="C74" s="11" t="s">
        <v>376</v>
      </c>
      <c r="D74">
        <v>-20</v>
      </c>
      <c r="E74">
        <v>75.31</v>
      </c>
      <c r="F74">
        <v>-1506.2</v>
      </c>
    </row>
    <row r="75" spans="1:6" x14ac:dyDescent="0.25">
      <c r="A75" s="11" t="s">
        <v>127</v>
      </c>
      <c r="B75">
        <v>29341</v>
      </c>
      <c r="C75">
        <v>75.31</v>
      </c>
      <c r="D75">
        <v>2209670.71</v>
      </c>
    </row>
    <row r="76" spans="1:6" x14ac:dyDescent="0.25">
      <c r="A76" s="11" t="s">
        <v>444</v>
      </c>
    </row>
    <row r="77" spans="1:6" x14ac:dyDescent="0.25">
      <c r="A77" s="11" t="s">
        <v>14</v>
      </c>
      <c r="B77" s="11" t="s">
        <v>445</v>
      </c>
      <c r="C77" s="11" t="s">
        <v>446</v>
      </c>
      <c r="D77">
        <v>1164</v>
      </c>
      <c r="E77">
        <v>102.76</v>
      </c>
      <c r="F77">
        <v>119612.64</v>
      </c>
    </row>
    <row r="78" spans="1:6" x14ac:dyDescent="0.25">
      <c r="A78" s="11" t="s">
        <v>14</v>
      </c>
      <c r="B78" s="11" t="s">
        <v>447</v>
      </c>
      <c r="C78" s="11" t="s">
        <v>448</v>
      </c>
      <c r="D78">
        <v>3219</v>
      </c>
      <c r="E78">
        <v>102.76</v>
      </c>
      <c r="F78">
        <v>330784.44</v>
      </c>
    </row>
    <row r="79" spans="1:6" x14ac:dyDescent="0.25">
      <c r="A79" s="11" t="s">
        <v>14</v>
      </c>
      <c r="B79" s="11" t="s">
        <v>449</v>
      </c>
      <c r="C79" s="11" t="s">
        <v>416</v>
      </c>
      <c r="D79">
        <v>2278</v>
      </c>
      <c r="E79">
        <v>102.76</v>
      </c>
      <c r="F79">
        <v>234087.28</v>
      </c>
    </row>
    <row r="80" spans="1:6" x14ac:dyDescent="0.25">
      <c r="A80" s="11" t="s">
        <v>14</v>
      </c>
      <c r="B80" s="11" t="s">
        <v>450</v>
      </c>
      <c r="C80" s="11" t="s">
        <v>451</v>
      </c>
      <c r="D80">
        <v>1612</v>
      </c>
      <c r="E80">
        <v>102.76</v>
      </c>
      <c r="F80">
        <v>165649.12</v>
      </c>
    </row>
    <row r="81" spans="1:6" x14ac:dyDescent="0.25">
      <c r="A81" s="11" t="s">
        <v>14</v>
      </c>
      <c r="B81" s="11" t="s">
        <v>452</v>
      </c>
      <c r="C81" s="11" t="s">
        <v>453</v>
      </c>
      <c r="D81">
        <v>1202</v>
      </c>
      <c r="E81">
        <v>102.76</v>
      </c>
      <c r="F81">
        <v>123517.52</v>
      </c>
    </row>
    <row r="82" spans="1:6" x14ac:dyDescent="0.25">
      <c r="A82" s="11" t="s">
        <v>454</v>
      </c>
      <c r="B82">
        <v>9475</v>
      </c>
      <c r="C82">
        <v>102.76</v>
      </c>
      <c r="D82">
        <v>973651</v>
      </c>
    </row>
    <row r="83" spans="1:6" x14ac:dyDescent="0.25">
      <c r="A83" s="11" t="s">
        <v>128</v>
      </c>
    </row>
    <row r="84" spans="1:6" x14ac:dyDescent="0.25">
      <c r="A84" s="11" t="s">
        <v>14</v>
      </c>
      <c r="B84" s="11" t="s">
        <v>455</v>
      </c>
      <c r="C84" s="11" t="s">
        <v>356</v>
      </c>
      <c r="D84">
        <v>1182</v>
      </c>
      <c r="E84">
        <v>87.21</v>
      </c>
      <c r="F84">
        <v>103082.22</v>
      </c>
    </row>
    <row r="85" spans="1:6" x14ac:dyDescent="0.25">
      <c r="A85" s="11" t="s">
        <v>14</v>
      </c>
      <c r="B85" s="11" t="s">
        <v>456</v>
      </c>
      <c r="C85" s="11" t="s">
        <v>392</v>
      </c>
      <c r="D85">
        <v>1887</v>
      </c>
      <c r="E85">
        <v>87.21</v>
      </c>
      <c r="F85">
        <v>164565.26999999999</v>
      </c>
    </row>
    <row r="86" spans="1:6" x14ac:dyDescent="0.25">
      <c r="A86" s="11" t="s">
        <v>14</v>
      </c>
      <c r="B86" s="11" t="s">
        <v>457</v>
      </c>
      <c r="C86" s="11" t="s">
        <v>396</v>
      </c>
      <c r="D86">
        <v>1076</v>
      </c>
      <c r="E86">
        <v>87.21</v>
      </c>
      <c r="F86">
        <v>93837.96</v>
      </c>
    </row>
    <row r="87" spans="1:6" x14ac:dyDescent="0.25">
      <c r="A87" s="11" t="s">
        <v>14</v>
      </c>
      <c r="B87" s="11" t="s">
        <v>458</v>
      </c>
      <c r="C87" s="11" t="s">
        <v>398</v>
      </c>
      <c r="D87">
        <v>1526</v>
      </c>
      <c r="E87">
        <v>87.21</v>
      </c>
      <c r="F87">
        <v>133082.46</v>
      </c>
    </row>
    <row r="88" spans="1:6" x14ac:dyDescent="0.25">
      <c r="A88" s="11" t="s">
        <v>14</v>
      </c>
      <c r="B88" s="11" t="s">
        <v>459</v>
      </c>
      <c r="C88" s="11" t="s">
        <v>460</v>
      </c>
      <c r="D88">
        <v>931</v>
      </c>
      <c r="E88">
        <v>87.21</v>
      </c>
      <c r="F88">
        <v>81192.509999999995</v>
      </c>
    </row>
    <row r="89" spans="1:6" x14ac:dyDescent="0.25">
      <c r="A89" s="11" t="s">
        <v>14</v>
      </c>
      <c r="B89" s="11" t="s">
        <v>461</v>
      </c>
      <c r="C89" s="11" t="s">
        <v>346</v>
      </c>
      <c r="D89">
        <v>1362</v>
      </c>
      <c r="E89">
        <v>87.21</v>
      </c>
      <c r="F89">
        <v>118780.02</v>
      </c>
    </row>
    <row r="90" spans="1:6" x14ac:dyDescent="0.25">
      <c r="A90" s="11" t="s">
        <v>14</v>
      </c>
      <c r="B90" s="11" t="s">
        <v>462</v>
      </c>
      <c r="C90" s="11" t="s">
        <v>402</v>
      </c>
      <c r="D90">
        <v>1126</v>
      </c>
      <c r="E90">
        <v>87.21</v>
      </c>
      <c r="F90">
        <v>98198.46</v>
      </c>
    </row>
    <row r="91" spans="1:6" x14ac:dyDescent="0.25">
      <c r="A91" s="11" t="s">
        <v>14</v>
      </c>
      <c r="B91" s="11" t="s">
        <v>463</v>
      </c>
      <c r="C91" s="11" t="s">
        <v>370</v>
      </c>
      <c r="D91">
        <v>268</v>
      </c>
      <c r="E91">
        <v>87.21</v>
      </c>
      <c r="F91">
        <v>23372.28</v>
      </c>
    </row>
    <row r="92" spans="1:6" x14ac:dyDescent="0.25">
      <c r="A92" s="11" t="s">
        <v>14</v>
      </c>
      <c r="B92" s="11" t="s">
        <v>464</v>
      </c>
      <c r="C92" s="11" t="s">
        <v>404</v>
      </c>
      <c r="D92">
        <v>1082</v>
      </c>
      <c r="E92">
        <v>87.21</v>
      </c>
      <c r="F92">
        <v>94361.22</v>
      </c>
    </row>
    <row r="93" spans="1:6" x14ac:dyDescent="0.25">
      <c r="A93" s="11" t="s">
        <v>14</v>
      </c>
      <c r="B93" s="11" t="s">
        <v>465</v>
      </c>
      <c r="C93" s="11" t="s">
        <v>406</v>
      </c>
      <c r="D93">
        <v>1034</v>
      </c>
      <c r="E93">
        <v>87.21</v>
      </c>
      <c r="F93">
        <v>90175.14</v>
      </c>
    </row>
    <row r="94" spans="1:6" x14ac:dyDescent="0.25">
      <c r="A94" s="11" t="s">
        <v>14</v>
      </c>
      <c r="B94" s="11" t="s">
        <v>466</v>
      </c>
      <c r="C94" s="11" t="s">
        <v>376</v>
      </c>
      <c r="D94">
        <v>-48</v>
      </c>
      <c r="E94">
        <v>87.21</v>
      </c>
      <c r="F94">
        <v>-4186.08</v>
      </c>
    </row>
    <row r="95" spans="1:6" x14ac:dyDescent="0.25">
      <c r="A95" s="11" t="s">
        <v>161</v>
      </c>
      <c r="B95">
        <v>11426</v>
      </c>
      <c r="C95">
        <v>87.21</v>
      </c>
      <c r="D95">
        <v>996461.46</v>
      </c>
    </row>
    <row r="96" spans="1:6" x14ac:dyDescent="0.25">
      <c r="A96" s="11" t="s">
        <v>467</v>
      </c>
    </row>
    <row r="97" spans="1:6" x14ac:dyDescent="0.25">
      <c r="A97" s="11" t="s">
        <v>14</v>
      </c>
      <c r="B97" s="11" t="s">
        <v>468</v>
      </c>
      <c r="C97" s="11" t="s">
        <v>448</v>
      </c>
      <c r="D97">
        <v>2008</v>
      </c>
      <c r="E97">
        <v>99.45</v>
      </c>
      <c r="F97">
        <v>199695.6</v>
      </c>
    </row>
    <row r="98" spans="1:6" x14ac:dyDescent="0.25">
      <c r="A98" s="11" t="s">
        <v>14</v>
      </c>
      <c r="B98" s="11" t="s">
        <v>469</v>
      </c>
      <c r="C98" s="11" t="s">
        <v>470</v>
      </c>
      <c r="D98">
        <v>2428</v>
      </c>
      <c r="E98">
        <v>99.45</v>
      </c>
      <c r="F98">
        <v>241464.6</v>
      </c>
    </row>
    <row r="99" spans="1:6" x14ac:dyDescent="0.25">
      <c r="A99" s="11" t="s">
        <v>14</v>
      </c>
      <c r="B99" s="11" t="s">
        <v>471</v>
      </c>
      <c r="C99" s="11" t="s">
        <v>420</v>
      </c>
      <c r="D99">
        <v>1576</v>
      </c>
      <c r="E99">
        <v>99.45</v>
      </c>
      <c r="F99">
        <v>156733.20000000001</v>
      </c>
    </row>
    <row r="100" spans="1:6" x14ac:dyDescent="0.25">
      <c r="A100" s="11" t="s">
        <v>472</v>
      </c>
      <c r="B100">
        <v>6012</v>
      </c>
      <c r="C100">
        <v>99.45</v>
      </c>
      <c r="D100">
        <v>597893.4</v>
      </c>
    </row>
    <row r="101" spans="1:6" x14ac:dyDescent="0.25">
      <c r="A101" s="11" t="s">
        <v>172</v>
      </c>
    </row>
    <row r="102" spans="1:6" x14ac:dyDescent="0.25">
      <c r="A102" s="11" t="s">
        <v>14</v>
      </c>
      <c r="B102" s="11" t="s">
        <v>473</v>
      </c>
      <c r="C102" s="11" t="s">
        <v>474</v>
      </c>
      <c r="D102">
        <v>3057</v>
      </c>
      <c r="E102">
        <v>68.739999999999995</v>
      </c>
      <c r="F102">
        <v>210138.18</v>
      </c>
    </row>
    <row r="103" spans="1:6" x14ac:dyDescent="0.25">
      <c r="A103" s="11" t="s">
        <v>14</v>
      </c>
      <c r="B103" s="11" t="s">
        <v>475</v>
      </c>
      <c r="C103" s="11" t="s">
        <v>362</v>
      </c>
      <c r="D103">
        <v>2771</v>
      </c>
      <c r="E103">
        <v>66</v>
      </c>
      <c r="F103">
        <v>182886</v>
      </c>
    </row>
    <row r="104" spans="1:6" x14ac:dyDescent="0.25">
      <c r="A104" s="11" t="s">
        <v>14</v>
      </c>
      <c r="B104" s="11" t="s">
        <v>476</v>
      </c>
      <c r="C104" s="11" t="s">
        <v>477</v>
      </c>
      <c r="D104">
        <v>704</v>
      </c>
      <c r="E104">
        <v>66</v>
      </c>
      <c r="F104">
        <v>46464</v>
      </c>
    </row>
    <row r="105" spans="1:6" x14ac:dyDescent="0.25">
      <c r="A105" s="11" t="s">
        <v>14</v>
      </c>
      <c r="B105" s="11" t="s">
        <v>478</v>
      </c>
      <c r="C105" s="11" t="s">
        <v>368</v>
      </c>
      <c r="D105">
        <v>2300</v>
      </c>
      <c r="E105">
        <v>68.739999999999995</v>
      </c>
      <c r="F105">
        <v>158102</v>
      </c>
    </row>
    <row r="106" spans="1:6" x14ac:dyDescent="0.25">
      <c r="A106" s="11" t="s">
        <v>14</v>
      </c>
      <c r="B106" s="11" t="s">
        <v>479</v>
      </c>
      <c r="C106" s="11" t="s">
        <v>376</v>
      </c>
      <c r="D106">
        <v>1323</v>
      </c>
      <c r="E106">
        <v>68.739999999999995</v>
      </c>
      <c r="F106">
        <v>90943.02</v>
      </c>
    </row>
    <row r="107" spans="1:6" x14ac:dyDescent="0.25">
      <c r="A107" s="11" t="s">
        <v>14</v>
      </c>
      <c r="B107" s="11" t="s">
        <v>480</v>
      </c>
      <c r="C107" s="11" t="s">
        <v>481</v>
      </c>
      <c r="D107">
        <v>1618</v>
      </c>
      <c r="E107">
        <v>68.739999999999995</v>
      </c>
      <c r="F107">
        <v>111221.32</v>
      </c>
    </row>
    <row r="108" spans="1:6" x14ac:dyDescent="0.25">
      <c r="A108" s="11" t="s">
        <v>193</v>
      </c>
      <c r="B108">
        <v>11773</v>
      </c>
      <c r="C108">
        <v>67.931242673914895</v>
      </c>
      <c r="D108">
        <v>799754.52</v>
      </c>
    </row>
    <row r="109" spans="1:6" x14ac:dyDescent="0.25">
      <c r="A109" s="11" t="s">
        <v>194</v>
      </c>
    </row>
    <row r="110" spans="1:6" x14ac:dyDescent="0.25">
      <c r="A110" s="11" t="s">
        <v>14</v>
      </c>
      <c r="B110" s="11" t="s">
        <v>482</v>
      </c>
      <c r="C110" s="11" t="s">
        <v>483</v>
      </c>
      <c r="D110">
        <v>5009</v>
      </c>
      <c r="E110">
        <v>68.22</v>
      </c>
      <c r="F110">
        <v>341713.98</v>
      </c>
    </row>
    <row r="111" spans="1:6" x14ac:dyDescent="0.25">
      <c r="A111" s="11" t="s">
        <v>14</v>
      </c>
      <c r="B111" s="11" t="s">
        <v>484</v>
      </c>
      <c r="C111" s="11" t="s">
        <v>485</v>
      </c>
      <c r="D111">
        <v>6202</v>
      </c>
      <c r="E111">
        <v>68.22</v>
      </c>
      <c r="F111">
        <v>423100.44</v>
      </c>
    </row>
    <row r="112" spans="1:6" x14ac:dyDescent="0.25">
      <c r="A112" s="11" t="s">
        <v>14</v>
      </c>
      <c r="B112" s="11" t="s">
        <v>486</v>
      </c>
      <c r="C112" s="11" t="s">
        <v>487</v>
      </c>
      <c r="D112">
        <v>1302</v>
      </c>
      <c r="E112">
        <v>68.22</v>
      </c>
      <c r="F112">
        <v>88822.44</v>
      </c>
    </row>
    <row r="113" spans="1:6" x14ac:dyDescent="0.25">
      <c r="A113" s="11" t="s">
        <v>14</v>
      </c>
      <c r="B113" s="11" t="s">
        <v>488</v>
      </c>
      <c r="C113" s="11" t="s">
        <v>489</v>
      </c>
      <c r="D113">
        <v>2842</v>
      </c>
      <c r="E113">
        <v>68.22</v>
      </c>
      <c r="F113">
        <v>193881.24</v>
      </c>
    </row>
    <row r="114" spans="1:6" x14ac:dyDescent="0.25">
      <c r="A114" s="11" t="s">
        <v>14</v>
      </c>
      <c r="B114" s="11" t="s">
        <v>490</v>
      </c>
      <c r="C114" s="11" t="s">
        <v>435</v>
      </c>
      <c r="D114">
        <v>442</v>
      </c>
      <c r="E114">
        <v>68.22</v>
      </c>
      <c r="F114">
        <v>30153.24</v>
      </c>
    </row>
    <row r="115" spans="1:6" x14ac:dyDescent="0.25">
      <c r="A115" s="11" t="s">
        <v>14</v>
      </c>
      <c r="B115" s="11" t="s">
        <v>491</v>
      </c>
      <c r="C115" s="11" t="s">
        <v>492</v>
      </c>
      <c r="D115">
        <v>2068</v>
      </c>
      <c r="E115">
        <v>68.22</v>
      </c>
      <c r="F115">
        <v>141078.96</v>
      </c>
    </row>
    <row r="116" spans="1:6" x14ac:dyDescent="0.25">
      <c r="A116" s="11" t="s">
        <v>14</v>
      </c>
      <c r="B116" s="11" t="s">
        <v>493</v>
      </c>
      <c r="C116" s="11" t="s">
        <v>398</v>
      </c>
      <c r="D116">
        <v>279</v>
      </c>
      <c r="E116">
        <v>68.22</v>
      </c>
      <c r="F116">
        <v>19033.38</v>
      </c>
    </row>
    <row r="117" spans="1:6" x14ac:dyDescent="0.25">
      <c r="A117" s="11" t="s">
        <v>14</v>
      </c>
      <c r="B117" s="11" t="s">
        <v>494</v>
      </c>
      <c r="C117" s="11" t="s">
        <v>364</v>
      </c>
      <c r="D117">
        <v>7977</v>
      </c>
      <c r="E117">
        <v>68.22</v>
      </c>
      <c r="F117">
        <v>544190.93999999994</v>
      </c>
    </row>
    <row r="118" spans="1:6" x14ac:dyDescent="0.25">
      <c r="A118" s="11" t="s">
        <v>14</v>
      </c>
      <c r="B118" s="11" t="s">
        <v>495</v>
      </c>
      <c r="C118" s="11" t="s">
        <v>460</v>
      </c>
      <c r="D118">
        <v>3334</v>
      </c>
      <c r="E118">
        <v>68.22</v>
      </c>
      <c r="F118">
        <v>227445.48</v>
      </c>
    </row>
    <row r="119" spans="1:6" x14ac:dyDescent="0.25">
      <c r="A119" s="11" t="s">
        <v>14</v>
      </c>
      <c r="B119" s="11" t="s">
        <v>496</v>
      </c>
      <c r="C119" s="11" t="s">
        <v>497</v>
      </c>
      <c r="D119">
        <v>1067</v>
      </c>
      <c r="E119">
        <v>68.22</v>
      </c>
      <c r="F119">
        <v>72790.740000000005</v>
      </c>
    </row>
    <row r="120" spans="1:6" x14ac:dyDescent="0.25">
      <c r="A120" s="11" t="s">
        <v>14</v>
      </c>
      <c r="B120" s="11" t="s">
        <v>498</v>
      </c>
      <c r="C120" s="11" t="s">
        <v>499</v>
      </c>
      <c r="D120">
        <v>1234.5</v>
      </c>
      <c r="E120">
        <v>68.22</v>
      </c>
      <c r="F120">
        <v>84217.59</v>
      </c>
    </row>
    <row r="121" spans="1:6" x14ac:dyDescent="0.25">
      <c r="A121" s="11" t="s">
        <v>14</v>
      </c>
      <c r="B121" s="11" t="s">
        <v>500</v>
      </c>
      <c r="C121" s="11" t="s">
        <v>501</v>
      </c>
      <c r="D121">
        <v>2430</v>
      </c>
      <c r="E121">
        <v>70.150000000000006</v>
      </c>
      <c r="F121">
        <v>170464.5</v>
      </c>
    </row>
    <row r="122" spans="1:6" x14ac:dyDescent="0.25">
      <c r="A122" s="11" t="s">
        <v>14</v>
      </c>
      <c r="B122" s="11" t="s">
        <v>500</v>
      </c>
      <c r="C122" s="11" t="s">
        <v>501</v>
      </c>
      <c r="D122">
        <v>1094</v>
      </c>
      <c r="E122">
        <v>70.150000000000006</v>
      </c>
      <c r="F122">
        <v>76744.100000000006</v>
      </c>
    </row>
    <row r="123" spans="1:6" x14ac:dyDescent="0.25">
      <c r="A123" s="11" t="s">
        <v>14</v>
      </c>
      <c r="B123" s="11" t="s">
        <v>502</v>
      </c>
      <c r="C123" s="11" t="s">
        <v>503</v>
      </c>
      <c r="D123">
        <v>734</v>
      </c>
      <c r="E123">
        <v>70.150000000000006</v>
      </c>
      <c r="F123">
        <v>51490.1</v>
      </c>
    </row>
    <row r="124" spans="1:6" x14ac:dyDescent="0.25">
      <c r="A124" s="11" t="s">
        <v>14</v>
      </c>
      <c r="B124" s="11" t="s">
        <v>504</v>
      </c>
      <c r="C124" s="11" t="s">
        <v>505</v>
      </c>
      <c r="D124">
        <v>1672</v>
      </c>
      <c r="E124">
        <v>70.150000000000006</v>
      </c>
      <c r="F124">
        <v>117290.8</v>
      </c>
    </row>
    <row r="125" spans="1:6" x14ac:dyDescent="0.25">
      <c r="A125" s="11" t="s">
        <v>14</v>
      </c>
      <c r="B125" s="11" t="s">
        <v>506</v>
      </c>
      <c r="C125" s="11" t="s">
        <v>507</v>
      </c>
      <c r="D125">
        <v>2687.5</v>
      </c>
      <c r="E125">
        <v>70.150000000000006</v>
      </c>
      <c r="F125">
        <v>188528.125</v>
      </c>
    </row>
    <row r="126" spans="1:6" x14ac:dyDescent="0.25">
      <c r="A126" s="11" t="s">
        <v>14</v>
      </c>
      <c r="B126" s="11" t="s">
        <v>508</v>
      </c>
      <c r="C126" s="11" t="s">
        <v>368</v>
      </c>
      <c r="D126">
        <v>3928</v>
      </c>
      <c r="E126">
        <v>70.150000000000006</v>
      </c>
      <c r="F126">
        <v>275549.2</v>
      </c>
    </row>
    <row r="127" spans="1:6" x14ac:dyDescent="0.25">
      <c r="A127" s="11" t="s">
        <v>14</v>
      </c>
      <c r="B127" s="11" t="s">
        <v>509</v>
      </c>
      <c r="C127" s="11" t="s">
        <v>510</v>
      </c>
      <c r="D127">
        <v>1109</v>
      </c>
      <c r="E127">
        <v>70.150000000000006</v>
      </c>
      <c r="F127">
        <v>77796.350000000006</v>
      </c>
    </row>
    <row r="128" spans="1:6" x14ac:dyDescent="0.25">
      <c r="A128" s="11" t="s">
        <v>14</v>
      </c>
      <c r="B128" s="11" t="s">
        <v>511</v>
      </c>
      <c r="C128" s="11" t="s">
        <v>512</v>
      </c>
      <c r="D128">
        <v>7307</v>
      </c>
      <c r="E128">
        <v>70.150000000000006</v>
      </c>
      <c r="F128">
        <v>512586.05</v>
      </c>
    </row>
    <row r="129" spans="1:6" x14ac:dyDescent="0.25">
      <c r="A129" s="11" t="s">
        <v>14</v>
      </c>
      <c r="B129" s="11" t="s">
        <v>513</v>
      </c>
      <c r="C129" s="11" t="s">
        <v>514</v>
      </c>
      <c r="D129">
        <v>1256</v>
      </c>
      <c r="E129">
        <v>70.150000000000006</v>
      </c>
      <c r="F129">
        <v>88108.4</v>
      </c>
    </row>
    <row r="130" spans="1:6" x14ac:dyDescent="0.25">
      <c r="A130" s="11" t="s">
        <v>14</v>
      </c>
      <c r="B130" s="11" t="s">
        <v>515</v>
      </c>
      <c r="C130" s="11" t="s">
        <v>446</v>
      </c>
      <c r="D130">
        <v>1177</v>
      </c>
      <c r="E130">
        <v>70.150000000000006</v>
      </c>
      <c r="F130">
        <v>82566.55</v>
      </c>
    </row>
    <row r="131" spans="1:6" x14ac:dyDescent="0.25">
      <c r="A131" s="11" t="s">
        <v>14</v>
      </c>
      <c r="B131" s="11" t="s">
        <v>516</v>
      </c>
      <c r="C131" s="11" t="s">
        <v>517</v>
      </c>
      <c r="D131">
        <v>2278</v>
      </c>
      <c r="E131">
        <v>68.22</v>
      </c>
      <c r="F131">
        <v>155405.16</v>
      </c>
    </row>
    <row r="132" spans="1:6" x14ac:dyDescent="0.25">
      <c r="A132" s="11" t="s">
        <v>14</v>
      </c>
      <c r="B132" s="11" t="s">
        <v>518</v>
      </c>
      <c r="C132" s="11" t="s">
        <v>519</v>
      </c>
      <c r="D132">
        <v>2549</v>
      </c>
      <c r="E132">
        <v>70.150000000000006</v>
      </c>
      <c r="F132">
        <v>178812.35</v>
      </c>
    </row>
    <row r="133" spans="1:6" x14ac:dyDescent="0.25">
      <c r="A133" s="11" t="s">
        <v>14</v>
      </c>
      <c r="B133" s="11" t="s">
        <v>520</v>
      </c>
      <c r="C133" s="11" t="s">
        <v>521</v>
      </c>
      <c r="D133">
        <v>2172</v>
      </c>
      <c r="E133">
        <v>70.150000000000006</v>
      </c>
      <c r="F133">
        <v>152365.79999999999</v>
      </c>
    </row>
    <row r="134" spans="1:6" x14ac:dyDescent="0.25">
      <c r="A134" s="11" t="s">
        <v>14</v>
      </c>
      <c r="B134" s="11" t="s">
        <v>522</v>
      </c>
      <c r="C134" s="11" t="s">
        <v>483</v>
      </c>
      <c r="D134">
        <v>-48.5</v>
      </c>
      <c r="E134">
        <v>57.14</v>
      </c>
      <c r="F134">
        <v>-2771.29</v>
      </c>
    </row>
    <row r="135" spans="1:6" x14ac:dyDescent="0.25">
      <c r="A135" s="11" t="s">
        <v>14</v>
      </c>
      <c r="B135" s="11" t="s">
        <v>523</v>
      </c>
      <c r="C135" s="11" t="s">
        <v>376</v>
      </c>
      <c r="D135">
        <v>-84.5</v>
      </c>
      <c r="E135">
        <v>68.22</v>
      </c>
      <c r="F135">
        <v>-5764.59</v>
      </c>
    </row>
    <row r="136" spans="1:6" x14ac:dyDescent="0.25">
      <c r="A136" s="11" t="s">
        <v>14</v>
      </c>
      <c r="B136" s="11" t="s">
        <v>443</v>
      </c>
      <c r="C136" s="11" t="s">
        <v>376</v>
      </c>
      <c r="D136">
        <v>-151</v>
      </c>
      <c r="E136">
        <v>68.22</v>
      </c>
      <c r="F136">
        <v>-10301.219999999999</v>
      </c>
    </row>
    <row r="137" spans="1:6" x14ac:dyDescent="0.25">
      <c r="A137" s="11" t="s">
        <v>14</v>
      </c>
      <c r="B137" s="11" t="s">
        <v>524</v>
      </c>
      <c r="C137" s="11" t="s">
        <v>525</v>
      </c>
      <c r="D137">
        <v>-160</v>
      </c>
      <c r="E137">
        <v>68.22</v>
      </c>
      <c r="F137">
        <v>-10915.2</v>
      </c>
    </row>
    <row r="138" spans="1:6" x14ac:dyDescent="0.25">
      <c r="A138" s="11" t="s">
        <v>14</v>
      </c>
      <c r="B138" s="11" t="s">
        <v>526</v>
      </c>
      <c r="C138" s="11" t="s">
        <v>525</v>
      </c>
      <c r="D138">
        <v>-179</v>
      </c>
      <c r="E138">
        <v>70.150000000000006</v>
      </c>
      <c r="F138">
        <v>-12556.85</v>
      </c>
    </row>
    <row r="139" spans="1:6" x14ac:dyDescent="0.25">
      <c r="A139" s="11" t="s">
        <v>242</v>
      </c>
      <c r="B139">
        <v>61527</v>
      </c>
      <c r="C139">
        <v>69.081373600114702</v>
      </c>
      <c r="D139">
        <v>4251826.7649999997</v>
      </c>
    </row>
    <row r="140" spans="1:6" x14ac:dyDescent="0.25">
      <c r="A140" s="11" t="s">
        <v>527</v>
      </c>
    </row>
    <row r="141" spans="1:6" x14ac:dyDescent="0.25">
      <c r="A141" s="11" t="s">
        <v>14</v>
      </c>
      <c r="B141" s="11" t="s">
        <v>528</v>
      </c>
      <c r="C141" s="11" t="s">
        <v>412</v>
      </c>
      <c r="D141">
        <v>2175</v>
      </c>
      <c r="E141">
        <v>87.04</v>
      </c>
      <c r="F141">
        <v>189312</v>
      </c>
    </row>
    <row r="142" spans="1:6" x14ac:dyDescent="0.25">
      <c r="A142" s="11" t="s">
        <v>14</v>
      </c>
      <c r="B142" s="11" t="s">
        <v>529</v>
      </c>
      <c r="C142" s="11" t="s">
        <v>420</v>
      </c>
      <c r="D142">
        <v>1704</v>
      </c>
      <c r="E142">
        <v>87.04</v>
      </c>
      <c r="F142">
        <v>148316.16</v>
      </c>
    </row>
    <row r="143" spans="1:6" x14ac:dyDescent="0.25">
      <c r="A143" s="11" t="s">
        <v>530</v>
      </c>
      <c r="B143">
        <v>3879</v>
      </c>
      <c r="C143">
        <v>87.04</v>
      </c>
      <c r="D143">
        <v>337628.15999999997</v>
      </c>
    </row>
    <row r="144" spans="1:6" x14ac:dyDescent="0.25">
      <c r="A144" s="11" t="s">
        <v>243</v>
      </c>
    </row>
    <row r="145" spans="1:6" x14ac:dyDescent="0.25">
      <c r="A145" s="11" t="s">
        <v>14</v>
      </c>
      <c r="B145" s="11" t="s">
        <v>531</v>
      </c>
      <c r="C145" s="11" t="s">
        <v>427</v>
      </c>
      <c r="D145">
        <v>1173</v>
      </c>
      <c r="E145">
        <v>69.989999999999995</v>
      </c>
      <c r="F145">
        <v>82098.27</v>
      </c>
    </row>
    <row r="146" spans="1:6" x14ac:dyDescent="0.25">
      <c r="A146" s="11" t="s">
        <v>14</v>
      </c>
      <c r="B146" s="11" t="s">
        <v>532</v>
      </c>
      <c r="C146" s="11" t="s">
        <v>440</v>
      </c>
      <c r="D146">
        <v>490</v>
      </c>
      <c r="E146">
        <v>69.989999999999995</v>
      </c>
      <c r="F146">
        <v>34295.1</v>
      </c>
    </row>
    <row r="147" spans="1:6" x14ac:dyDescent="0.25">
      <c r="A147" s="11" t="s">
        <v>14</v>
      </c>
      <c r="B147" s="11" t="s">
        <v>533</v>
      </c>
      <c r="C147" s="11" t="s">
        <v>402</v>
      </c>
      <c r="D147">
        <v>414</v>
      </c>
      <c r="E147">
        <v>69.989999999999995</v>
      </c>
      <c r="F147">
        <v>28975.86</v>
      </c>
    </row>
    <row r="148" spans="1:6" x14ac:dyDescent="0.25">
      <c r="A148" s="11" t="s">
        <v>14</v>
      </c>
      <c r="B148" s="11" t="s">
        <v>534</v>
      </c>
      <c r="C148" s="11" t="s">
        <v>370</v>
      </c>
      <c r="D148">
        <v>530</v>
      </c>
      <c r="E148">
        <v>69.989999999999995</v>
      </c>
      <c r="F148">
        <v>37094.699999999997</v>
      </c>
    </row>
    <row r="149" spans="1:6" x14ac:dyDescent="0.25">
      <c r="A149" s="11" t="s">
        <v>14</v>
      </c>
      <c r="B149" s="11" t="s">
        <v>466</v>
      </c>
      <c r="C149" s="11" t="s">
        <v>376</v>
      </c>
      <c r="D149">
        <v>-14</v>
      </c>
      <c r="E149">
        <v>63.32</v>
      </c>
      <c r="F149">
        <v>-886.48</v>
      </c>
    </row>
    <row r="150" spans="1:6" x14ac:dyDescent="0.25">
      <c r="A150" s="11" t="s">
        <v>248</v>
      </c>
      <c r="B150">
        <v>2593</v>
      </c>
      <c r="C150">
        <v>69.954372376955405</v>
      </c>
      <c r="D150">
        <v>181577.45</v>
      </c>
    </row>
    <row r="151" spans="1:6" x14ac:dyDescent="0.25">
      <c r="A151" s="11" t="s">
        <v>252</v>
      </c>
    </row>
    <row r="152" spans="1:6" x14ac:dyDescent="0.25">
      <c r="A152" s="11" t="s">
        <v>14</v>
      </c>
      <c r="B152" s="11" t="s">
        <v>535</v>
      </c>
      <c r="C152" s="11" t="s">
        <v>356</v>
      </c>
      <c r="D152">
        <v>2091</v>
      </c>
      <c r="E152">
        <v>83.42</v>
      </c>
      <c r="F152">
        <v>174431.22</v>
      </c>
    </row>
    <row r="153" spans="1:6" x14ac:dyDescent="0.25">
      <c r="A153" s="11" t="s">
        <v>14</v>
      </c>
      <c r="B153" s="11" t="s">
        <v>536</v>
      </c>
      <c r="C153" s="11" t="s">
        <v>378</v>
      </c>
      <c r="D153">
        <v>1669</v>
      </c>
      <c r="E153">
        <v>83.42</v>
      </c>
      <c r="F153">
        <v>139227.98000000001</v>
      </c>
    </row>
    <row r="154" spans="1:6" x14ac:dyDescent="0.25">
      <c r="A154" s="11" t="s">
        <v>14</v>
      </c>
      <c r="B154" s="11" t="s">
        <v>345</v>
      </c>
      <c r="C154" s="11" t="s">
        <v>346</v>
      </c>
      <c r="D154">
        <v>805</v>
      </c>
      <c r="E154">
        <v>83.42</v>
      </c>
      <c r="F154">
        <v>67153.100000000006</v>
      </c>
    </row>
    <row r="155" spans="1:6" x14ac:dyDescent="0.25">
      <c r="A155" s="11" t="s">
        <v>14</v>
      </c>
      <c r="B155" s="11" t="s">
        <v>537</v>
      </c>
      <c r="C155" s="11" t="s">
        <v>538</v>
      </c>
      <c r="D155">
        <v>661</v>
      </c>
      <c r="E155">
        <v>83.42</v>
      </c>
      <c r="F155">
        <v>55140.62</v>
      </c>
    </row>
    <row r="156" spans="1:6" x14ac:dyDescent="0.25">
      <c r="A156" s="11" t="s">
        <v>14</v>
      </c>
      <c r="B156" s="11" t="s">
        <v>539</v>
      </c>
      <c r="C156" s="11" t="s">
        <v>540</v>
      </c>
      <c r="D156">
        <v>1106</v>
      </c>
      <c r="E156">
        <v>83.42</v>
      </c>
      <c r="F156">
        <v>92262.52</v>
      </c>
    </row>
    <row r="157" spans="1:6" x14ac:dyDescent="0.25">
      <c r="A157" s="11" t="s">
        <v>14</v>
      </c>
      <c r="B157" s="11" t="s">
        <v>541</v>
      </c>
      <c r="C157" s="11" t="s">
        <v>446</v>
      </c>
      <c r="D157">
        <v>908</v>
      </c>
      <c r="E157">
        <v>83.42</v>
      </c>
      <c r="F157">
        <v>75745.36</v>
      </c>
    </row>
    <row r="158" spans="1:6" x14ac:dyDescent="0.25">
      <c r="A158" s="11" t="s">
        <v>14</v>
      </c>
      <c r="B158" s="11" t="s">
        <v>542</v>
      </c>
      <c r="C158" s="11" t="s">
        <v>381</v>
      </c>
      <c r="D158">
        <v>440</v>
      </c>
      <c r="E158">
        <v>83.42</v>
      </c>
      <c r="F158">
        <v>36704.800000000003</v>
      </c>
    </row>
    <row r="159" spans="1:6" x14ac:dyDescent="0.25">
      <c r="A159" s="11" t="s">
        <v>14</v>
      </c>
      <c r="B159" s="11" t="s">
        <v>543</v>
      </c>
      <c r="C159" s="11" t="s">
        <v>414</v>
      </c>
      <c r="D159">
        <v>1426</v>
      </c>
      <c r="E159">
        <v>83.42</v>
      </c>
      <c r="F159">
        <v>118956.92</v>
      </c>
    </row>
    <row r="160" spans="1:6" x14ac:dyDescent="0.25">
      <c r="A160" s="11" t="s">
        <v>14</v>
      </c>
      <c r="B160" s="11" t="s">
        <v>544</v>
      </c>
      <c r="C160" s="11" t="s">
        <v>545</v>
      </c>
      <c r="D160">
        <v>1067</v>
      </c>
      <c r="E160">
        <v>83.42</v>
      </c>
      <c r="F160">
        <v>89009.14</v>
      </c>
    </row>
    <row r="161" spans="1:6" x14ac:dyDescent="0.25">
      <c r="A161" s="11" t="s">
        <v>258</v>
      </c>
      <c r="B161">
        <v>10173</v>
      </c>
      <c r="C161">
        <v>83.42</v>
      </c>
      <c r="D161">
        <v>848631.66</v>
      </c>
    </row>
    <row r="162" spans="1:6" x14ac:dyDescent="0.25">
      <c r="A162" s="11" t="s">
        <v>259</v>
      </c>
    </row>
    <row r="163" spans="1:6" x14ac:dyDescent="0.25">
      <c r="A163" s="11" t="s">
        <v>14</v>
      </c>
      <c r="B163" s="11" t="s">
        <v>546</v>
      </c>
      <c r="C163" s="11" t="s">
        <v>547</v>
      </c>
      <c r="D163">
        <v>407</v>
      </c>
      <c r="E163">
        <v>79.62</v>
      </c>
      <c r="F163">
        <v>32405.34</v>
      </c>
    </row>
    <row r="164" spans="1:6" x14ac:dyDescent="0.25">
      <c r="A164" s="11" t="s">
        <v>14</v>
      </c>
      <c r="B164" s="11" t="s">
        <v>548</v>
      </c>
      <c r="C164" s="11" t="s">
        <v>547</v>
      </c>
      <c r="D164">
        <v>2745</v>
      </c>
      <c r="E164">
        <v>79.62</v>
      </c>
      <c r="F164">
        <v>218556.9</v>
      </c>
    </row>
    <row r="165" spans="1:6" x14ac:dyDescent="0.25">
      <c r="A165" s="11" t="s">
        <v>14</v>
      </c>
      <c r="B165" s="11" t="s">
        <v>549</v>
      </c>
      <c r="C165" s="11" t="s">
        <v>474</v>
      </c>
      <c r="D165">
        <v>346</v>
      </c>
      <c r="E165">
        <v>79.62</v>
      </c>
      <c r="F165">
        <v>27548.52</v>
      </c>
    </row>
    <row r="166" spans="1:6" x14ac:dyDescent="0.25">
      <c r="A166" s="11" t="s">
        <v>14</v>
      </c>
      <c r="B166" s="11" t="s">
        <v>550</v>
      </c>
      <c r="C166" s="11" t="s">
        <v>551</v>
      </c>
      <c r="D166">
        <v>482</v>
      </c>
      <c r="E166">
        <v>79.62</v>
      </c>
      <c r="F166">
        <v>38376.839999999997</v>
      </c>
    </row>
    <row r="167" spans="1:6" x14ac:dyDescent="0.25">
      <c r="A167" s="11" t="s">
        <v>14</v>
      </c>
      <c r="B167" s="11" t="s">
        <v>552</v>
      </c>
      <c r="C167" s="11" t="s">
        <v>348</v>
      </c>
      <c r="D167">
        <v>2542</v>
      </c>
      <c r="E167">
        <v>75.64</v>
      </c>
      <c r="F167">
        <v>192276.88</v>
      </c>
    </row>
    <row r="168" spans="1:6" x14ac:dyDescent="0.25">
      <c r="A168" s="11" t="s">
        <v>14</v>
      </c>
      <c r="B168" s="11" t="s">
        <v>553</v>
      </c>
      <c r="C168" s="11" t="s">
        <v>554</v>
      </c>
      <c r="D168">
        <v>1206</v>
      </c>
      <c r="E168">
        <v>75.64</v>
      </c>
      <c r="F168">
        <v>91221.84</v>
      </c>
    </row>
    <row r="169" spans="1:6" x14ac:dyDescent="0.25">
      <c r="A169" s="11" t="s">
        <v>14</v>
      </c>
      <c r="B169" s="11" t="s">
        <v>555</v>
      </c>
      <c r="C169" s="11" t="s">
        <v>510</v>
      </c>
      <c r="D169">
        <v>141</v>
      </c>
      <c r="E169">
        <v>75.64</v>
      </c>
      <c r="F169">
        <v>10665.24</v>
      </c>
    </row>
    <row r="170" spans="1:6" x14ac:dyDescent="0.25">
      <c r="A170" s="11" t="s">
        <v>14</v>
      </c>
      <c r="B170" s="11" t="s">
        <v>556</v>
      </c>
      <c r="C170" s="11" t="s">
        <v>404</v>
      </c>
      <c r="D170">
        <v>2142</v>
      </c>
      <c r="E170">
        <v>75.64</v>
      </c>
      <c r="F170">
        <v>162020.88</v>
      </c>
    </row>
    <row r="171" spans="1:6" x14ac:dyDescent="0.25">
      <c r="A171" s="11" t="s">
        <v>14</v>
      </c>
      <c r="B171" s="11" t="s">
        <v>557</v>
      </c>
      <c r="C171" s="11" t="s">
        <v>404</v>
      </c>
      <c r="D171">
        <v>250</v>
      </c>
      <c r="E171">
        <v>75.64</v>
      </c>
      <c r="F171">
        <v>18910</v>
      </c>
    </row>
    <row r="172" spans="1:6" x14ac:dyDescent="0.25">
      <c r="A172" s="11" t="s">
        <v>14</v>
      </c>
      <c r="B172" s="11" t="s">
        <v>558</v>
      </c>
      <c r="C172" s="11" t="s">
        <v>559</v>
      </c>
      <c r="D172">
        <v>3848</v>
      </c>
      <c r="E172">
        <v>75.64</v>
      </c>
      <c r="F172">
        <v>291062.71999999997</v>
      </c>
    </row>
    <row r="173" spans="1:6" x14ac:dyDescent="0.25">
      <c r="A173" s="11" t="s">
        <v>14</v>
      </c>
      <c r="B173" s="11" t="s">
        <v>560</v>
      </c>
      <c r="C173" s="11" t="s">
        <v>481</v>
      </c>
      <c r="D173">
        <v>375</v>
      </c>
      <c r="E173">
        <v>75.64</v>
      </c>
      <c r="F173">
        <v>28365</v>
      </c>
    </row>
    <row r="174" spans="1:6" x14ac:dyDescent="0.25">
      <c r="A174" s="11" t="s">
        <v>14</v>
      </c>
      <c r="B174" s="11" t="s">
        <v>561</v>
      </c>
      <c r="C174" s="11" t="s">
        <v>562</v>
      </c>
      <c r="D174">
        <v>4527</v>
      </c>
      <c r="E174">
        <v>75.64</v>
      </c>
      <c r="F174">
        <v>342422.28</v>
      </c>
    </row>
    <row r="175" spans="1:6" x14ac:dyDescent="0.25">
      <c r="A175" s="11" t="s">
        <v>14</v>
      </c>
      <c r="B175" s="11" t="s">
        <v>563</v>
      </c>
      <c r="C175" s="11" t="s">
        <v>353</v>
      </c>
      <c r="D175">
        <v>2786</v>
      </c>
      <c r="E175">
        <v>75.64</v>
      </c>
      <c r="F175">
        <v>210733.04</v>
      </c>
    </row>
    <row r="176" spans="1:6" x14ac:dyDescent="0.25">
      <c r="A176" s="11" t="s">
        <v>281</v>
      </c>
      <c r="B176">
        <v>21797</v>
      </c>
      <c r="C176">
        <v>76.366723861081795</v>
      </c>
      <c r="D176">
        <v>1664565.48</v>
      </c>
    </row>
    <row r="177" spans="1:6" x14ac:dyDescent="0.25">
      <c r="A177" s="11" t="s">
        <v>564</v>
      </c>
    </row>
    <row r="178" spans="1:6" x14ac:dyDescent="0.25">
      <c r="A178" s="11" t="s">
        <v>14</v>
      </c>
      <c r="B178" s="11" t="s">
        <v>428</v>
      </c>
      <c r="C178" s="11" t="s">
        <v>429</v>
      </c>
      <c r="D178">
        <v>1</v>
      </c>
      <c r="E178">
        <v>1588</v>
      </c>
      <c r="F178">
        <v>1588</v>
      </c>
    </row>
    <row r="179" spans="1:6" x14ac:dyDescent="0.25">
      <c r="A179" s="11" t="s">
        <v>14</v>
      </c>
      <c r="B179" s="11" t="s">
        <v>430</v>
      </c>
      <c r="C179" s="11" t="s">
        <v>431</v>
      </c>
      <c r="D179">
        <v>1</v>
      </c>
      <c r="E179">
        <v>2948</v>
      </c>
      <c r="F179">
        <v>2948</v>
      </c>
    </row>
    <row r="180" spans="1:6" x14ac:dyDescent="0.25">
      <c r="A180" s="11" t="s">
        <v>14</v>
      </c>
      <c r="B180" s="11" t="s">
        <v>359</v>
      </c>
      <c r="C180" s="11" t="s">
        <v>360</v>
      </c>
      <c r="D180">
        <v>1</v>
      </c>
      <c r="E180">
        <v>778.5</v>
      </c>
      <c r="F180">
        <v>778.5</v>
      </c>
    </row>
    <row r="181" spans="1:6" x14ac:dyDescent="0.25">
      <c r="A181" s="11" t="s">
        <v>14</v>
      </c>
      <c r="B181" s="11" t="s">
        <v>395</v>
      </c>
      <c r="C181" s="11" t="s">
        <v>396</v>
      </c>
      <c r="D181">
        <v>1</v>
      </c>
      <c r="E181">
        <v>533.5</v>
      </c>
      <c r="F181">
        <v>533.5</v>
      </c>
    </row>
    <row r="182" spans="1:6" x14ac:dyDescent="0.25">
      <c r="A182" s="11" t="s">
        <v>14</v>
      </c>
      <c r="B182" s="11" t="s">
        <v>457</v>
      </c>
      <c r="C182" s="11" t="s">
        <v>396</v>
      </c>
      <c r="D182">
        <v>1</v>
      </c>
      <c r="E182">
        <v>538</v>
      </c>
      <c r="F182">
        <v>538</v>
      </c>
    </row>
    <row r="183" spans="1:6" x14ac:dyDescent="0.25">
      <c r="A183" s="11" t="s">
        <v>14</v>
      </c>
      <c r="B183" s="11" t="s">
        <v>491</v>
      </c>
      <c r="C183" s="11" t="s">
        <v>492</v>
      </c>
      <c r="D183">
        <v>1</v>
      </c>
      <c r="E183">
        <v>1034</v>
      </c>
      <c r="F183">
        <v>1034</v>
      </c>
    </row>
    <row r="184" spans="1:6" x14ac:dyDescent="0.25">
      <c r="A184" s="11" t="s">
        <v>14</v>
      </c>
      <c r="B184" s="11" t="s">
        <v>397</v>
      </c>
      <c r="C184" s="11" t="s">
        <v>398</v>
      </c>
      <c r="D184">
        <v>2844</v>
      </c>
      <c r="E184">
        <v>0.5</v>
      </c>
      <c r="F184">
        <v>1422</v>
      </c>
    </row>
    <row r="185" spans="1:6" x14ac:dyDescent="0.25">
      <c r="A185" s="11" t="s">
        <v>14</v>
      </c>
      <c r="B185" s="11" t="s">
        <v>458</v>
      </c>
      <c r="C185" s="11" t="s">
        <v>398</v>
      </c>
      <c r="D185">
        <v>1526</v>
      </c>
      <c r="E185">
        <v>0.5</v>
      </c>
      <c r="F185">
        <v>763</v>
      </c>
    </row>
    <row r="186" spans="1:6" x14ac:dyDescent="0.25">
      <c r="A186" s="11" t="s">
        <v>14</v>
      </c>
      <c r="B186" s="11" t="s">
        <v>493</v>
      </c>
      <c r="C186" s="11" t="s">
        <v>398</v>
      </c>
      <c r="D186">
        <v>279</v>
      </c>
      <c r="E186">
        <v>0.5</v>
      </c>
      <c r="F186">
        <v>139.5</v>
      </c>
    </row>
    <row r="187" spans="1:6" x14ac:dyDescent="0.25">
      <c r="A187" s="11" t="s">
        <v>14</v>
      </c>
      <c r="B187" s="11" t="s">
        <v>361</v>
      </c>
      <c r="C187" s="11" t="s">
        <v>362</v>
      </c>
      <c r="D187">
        <v>1167</v>
      </c>
      <c r="E187">
        <v>0.5</v>
      </c>
      <c r="F187">
        <v>583.5</v>
      </c>
    </row>
    <row r="188" spans="1:6" x14ac:dyDescent="0.25">
      <c r="A188" s="11" t="s">
        <v>14</v>
      </c>
      <c r="B188" s="11" t="s">
        <v>475</v>
      </c>
      <c r="C188" s="11" t="s">
        <v>362</v>
      </c>
      <c r="D188">
        <v>2771</v>
      </c>
      <c r="E188">
        <v>0.5</v>
      </c>
      <c r="F188">
        <v>1385.5</v>
      </c>
    </row>
    <row r="189" spans="1:6" x14ac:dyDescent="0.25">
      <c r="A189" s="11" t="s">
        <v>14</v>
      </c>
      <c r="B189" s="11" t="s">
        <v>494</v>
      </c>
      <c r="C189" s="11" t="s">
        <v>364</v>
      </c>
      <c r="D189">
        <v>7977</v>
      </c>
      <c r="E189">
        <v>0.5</v>
      </c>
      <c r="F189">
        <v>3988.5</v>
      </c>
    </row>
    <row r="190" spans="1:6" x14ac:dyDescent="0.25">
      <c r="A190" s="11" t="s">
        <v>14</v>
      </c>
      <c r="B190" s="11" t="s">
        <v>363</v>
      </c>
      <c r="C190" s="11" t="s">
        <v>364</v>
      </c>
      <c r="D190">
        <v>2742</v>
      </c>
      <c r="E190">
        <v>0.5</v>
      </c>
      <c r="F190">
        <v>1371</v>
      </c>
    </row>
    <row r="191" spans="1:6" x14ac:dyDescent="0.25">
      <c r="A191" s="11" t="s">
        <v>14</v>
      </c>
      <c r="B191" s="11" t="s">
        <v>536</v>
      </c>
      <c r="C191" s="11" t="s">
        <v>378</v>
      </c>
      <c r="D191">
        <v>1669</v>
      </c>
      <c r="E191">
        <v>0.45</v>
      </c>
      <c r="F191">
        <v>751.05</v>
      </c>
    </row>
    <row r="192" spans="1:6" x14ac:dyDescent="0.25">
      <c r="A192" s="11" t="s">
        <v>14</v>
      </c>
      <c r="B192" s="11" t="s">
        <v>377</v>
      </c>
      <c r="C192" s="11" t="s">
        <v>378</v>
      </c>
      <c r="D192">
        <v>292</v>
      </c>
      <c r="E192">
        <v>0.45</v>
      </c>
      <c r="F192">
        <v>131.4</v>
      </c>
    </row>
    <row r="193" spans="1:6" x14ac:dyDescent="0.25">
      <c r="A193" s="11" t="s">
        <v>14</v>
      </c>
      <c r="B193" s="11" t="s">
        <v>459</v>
      </c>
      <c r="C193" s="11" t="s">
        <v>460</v>
      </c>
      <c r="D193">
        <v>926</v>
      </c>
      <c r="E193">
        <v>0.45</v>
      </c>
      <c r="F193">
        <v>416.7</v>
      </c>
    </row>
    <row r="194" spans="1:6" x14ac:dyDescent="0.25">
      <c r="A194" s="11" t="s">
        <v>14</v>
      </c>
      <c r="B194" s="11" t="s">
        <v>495</v>
      </c>
      <c r="C194" s="11" t="s">
        <v>460</v>
      </c>
      <c r="D194">
        <v>3334</v>
      </c>
      <c r="E194">
        <v>0.45</v>
      </c>
      <c r="F194">
        <v>1500.3</v>
      </c>
    </row>
    <row r="195" spans="1:6" x14ac:dyDescent="0.25">
      <c r="A195" s="11" t="s">
        <v>14</v>
      </c>
      <c r="B195" s="11" t="s">
        <v>496</v>
      </c>
      <c r="C195" s="11" t="s">
        <v>497</v>
      </c>
      <c r="D195">
        <v>1067</v>
      </c>
      <c r="E195">
        <v>0.45</v>
      </c>
      <c r="F195">
        <v>480.15</v>
      </c>
    </row>
    <row r="196" spans="1:6" x14ac:dyDescent="0.25">
      <c r="A196" s="11" t="s">
        <v>14</v>
      </c>
      <c r="B196" s="11" t="s">
        <v>498</v>
      </c>
      <c r="C196" s="11" t="s">
        <v>499</v>
      </c>
      <c r="D196">
        <v>1234.5</v>
      </c>
      <c r="E196">
        <v>0.45</v>
      </c>
      <c r="F196">
        <v>555.52499999999998</v>
      </c>
    </row>
    <row r="197" spans="1:6" x14ac:dyDescent="0.25">
      <c r="A197" s="11" t="s">
        <v>14</v>
      </c>
      <c r="B197" s="11" t="s">
        <v>565</v>
      </c>
      <c r="C197" s="11" t="s">
        <v>566</v>
      </c>
      <c r="D197">
        <v>158</v>
      </c>
      <c r="E197">
        <v>0.45</v>
      </c>
      <c r="F197">
        <v>71.099999999999994</v>
      </c>
    </row>
    <row r="198" spans="1:6" x14ac:dyDescent="0.25">
      <c r="A198" s="11" t="s">
        <v>14</v>
      </c>
      <c r="B198" s="11" t="s">
        <v>436</v>
      </c>
      <c r="C198" s="11" t="s">
        <v>437</v>
      </c>
      <c r="D198">
        <v>5160</v>
      </c>
      <c r="E198">
        <v>0.45</v>
      </c>
      <c r="F198">
        <v>2322</v>
      </c>
    </row>
    <row r="199" spans="1:6" x14ac:dyDescent="0.25">
      <c r="A199" s="11" t="s">
        <v>14</v>
      </c>
      <c r="B199" s="11" t="s">
        <v>379</v>
      </c>
      <c r="C199" s="11" t="s">
        <v>346</v>
      </c>
      <c r="D199">
        <v>226</v>
      </c>
      <c r="E199">
        <v>0.45</v>
      </c>
      <c r="F199">
        <v>101.7</v>
      </c>
    </row>
    <row r="200" spans="1:6" x14ac:dyDescent="0.25">
      <c r="A200" s="11" t="s">
        <v>14</v>
      </c>
      <c r="B200" s="11" t="s">
        <v>461</v>
      </c>
      <c r="C200" s="11" t="s">
        <v>346</v>
      </c>
      <c r="D200">
        <v>1362</v>
      </c>
      <c r="E200">
        <v>0.45</v>
      </c>
      <c r="F200">
        <v>612.9</v>
      </c>
    </row>
    <row r="201" spans="1:6" x14ac:dyDescent="0.25">
      <c r="A201" s="11" t="s">
        <v>14</v>
      </c>
      <c r="B201" s="11" t="s">
        <v>438</v>
      </c>
      <c r="C201" s="11" t="s">
        <v>366</v>
      </c>
      <c r="D201">
        <v>952</v>
      </c>
      <c r="E201">
        <v>0.45</v>
      </c>
      <c r="F201">
        <v>428.4</v>
      </c>
    </row>
    <row r="202" spans="1:6" x14ac:dyDescent="0.25">
      <c r="A202" s="11" t="s">
        <v>14</v>
      </c>
      <c r="B202" s="11" t="s">
        <v>365</v>
      </c>
      <c r="C202" s="11" t="s">
        <v>366</v>
      </c>
      <c r="D202">
        <v>1362</v>
      </c>
      <c r="E202">
        <v>0.45</v>
      </c>
      <c r="F202">
        <v>612.9</v>
      </c>
    </row>
    <row r="203" spans="1:6" x14ac:dyDescent="0.25">
      <c r="A203" s="11" t="s">
        <v>14</v>
      </c>
      <c r="B203" s="11" t="s">
        <v>439</v>
      </c>
      <c r="C203" s="11" t="s">
        <v>440</v>
      </c>
      <c r="D203">
        <v>1961</v>
      </c>
      <c r="E203">
        <v>0.45</v>
      </c>
      <c r="F203">
        <v>882.45</v>
      </c>
    </row>
    <row r="204" spans="1:6" x14ac:dyDescent="0.25">
      <c r="A204" s="11" t="s">
        <v>14</v>
      </c>
      <c r="B204" s="11" t="s">
        <v>532</v>
      </c>
      <c r="C204" s="11" t="s">
        <v>440</v>
      </c>
      <c r="D204">
        <v>200</v>
      </c>
      <c r="E204">
        <v>0.45</v>
      </c>
      <c r="F204">
        <v>90</v>
      </c>
    </row>
    <row r="205" spans="1:6" x14ac:dyDescent="0.25">
      <c r="A205" s="11" t="s">
        <v>14</v>
      </c>
      <c r="B205" s="11" t="s">
        <v>502</v>
      </c>
      <c r="C205" s="11" t="s">
        <v>503</v>
      </c>
      <c r="D205">
        <v>1056</v>
      </c>
      <c r="E205">
        <v>0.45</v>
      </c>
      <c r="F205">
        <v>475.2</v>
      </c>
    </row>
    <row r="206" spans="1:6" x14ac:dyDescent="0.25">
      <c r="A206" s="11" t="s">
        <v>14</v>
      </c>
      <c r="B206" s="11" t="s">
        <v>504</v>
      </c>
      <c r="C206" s="11" t="s">
        <v>505</v>
      </c>
      <c r="D206">
        <v>1672</v>
      </c>
      <c r="E206">
        <v>0.45</v>
      </c>
      <c r="F206">
        <v>752.4</v>
      </c>
    </row>
    <row r="207" spans="1:6" x14ac:dyDescent="0.25">
      <c r="A207" s="11" t="s">
        <v>14</v>
      </c>
      <c r="B207" s="11" t="s">
        <v>462</v>
      </c>
      <c r="C207" s="11" t="s">
        <v>402</v>
      </c>
      <c r="D207">
        <v>1126</v>
      </c>
      <c r="E207">
        <v>0.45</v>
      </c>
      <c r="F207">
        <v>506.7</v>
      </c>
    </row>
    <row r="208" spans="1:6" x14ac:dyDescent="0.25">
      <c r="A208" s="11" t="s">
        <v>14</v>
      </c>
      <c r="B208" s="11" t="s">
        <v>401</v>
      </c>
      <c r="C208" s="11" t="s">
        <v>402</v>
      </c>
      <c r="D208">
        <v>1117</v>
      </c>
      <c r="E208">
        <v>0.45</v>
      </c>
      <c r="F208">
        <v>502.65</v>
      </c>
    </row>
    <row r="209" spans="1:6" x14ac:dyDescent="0.25">
      <c r="A209" s="11" t="s">
        <v>14</v>
      </c>
      <c r="B209" s="11" t="s">
        <v>533</v>
      </c>
      <c r="C209" s="11" t="s">
        <v>402</v>
      </c>
      <c r="D209">
        <v>414</v>
      </c>
      <c r="E209">
        <v>0.45</v>
      </c>
      <c r="F209">
        <v>186.3</v>
      </c>
    </row>
    <row r="210" spans="1:6" x14ac:dyDescent="0.25">
      <c r="A210" s="11" t="s">
        <v>14</v>
      </c>
      <c r="B210" s="11" t="s">
        <v>506</v>
      </c>
      <c r="C210" s="11" t="s">
        <v>507</v>
      </c>
      <c r="D210">
        <v>2737.5</v>
      </c>
      <c r="E210">
        <v>0.45</v>
      </c>
      <c r="F210">
        <v>1231.875</v>
      </c>
    </row>
    <row r="211" spans="1:6" x14ac:dyDescent="0.25">
      <c r="A211" s="11" t="s">
        <v>14</v>
      </c>
      <c r="B211" s="11" t="s">
        <v>552</v>
      </c>
      <c r="C211" s="11" t="s">
        <v>348</v>
      </c>
      <c r="D211">
        <v>2542</v>
      </c>
      <c r="E211">
        <v>0.45</v>
      </c>
      <c r="F211">
        <v>1143.9000000000001</v>
      </c>
    </row>
    <row r="212" spans="1:6" x14ac:dyDescent="0.25">
      <c r="A212" s="11" t="s">
        <v>14</v>
      </c>
      <c r="B212" s="11" t="s">
        <v>553</v>
      </c>
      <c r="C212" s="11" t="s">
        <v>554</v>
      </c>
      <c r="D212">
        <v>1206</v>
      </c>
      <c r="E212">
        <v>0.45</v>
      </c>
      <c r="F212">
        <v>542.70000000000005</v>
      </c>
    </row>
    <row r="213" spans="1:6" x14ac:dyDescent="0.25">
      <c r="A213" s="11" t="s">
        <v>14</v>
      </c>
      <c r="B213" s="11" t="s">
        <v>508</v>
      </c>
      <c r="C213" s="11" t="s">
        <v>368</v>
      </c>
      <c r="D213">
        <v>3928</v>
      </c>
      <c r="E213">
        <v>0.45</v>
      </c>
      <c r="F213">
        <v>1767.6</v>
      </c>
    </row>
    <row r="214" spans="1:6" x14ac:dyDescent="0.25">
      <c r="A214" s="11" t="s">
        <v>14</v>
      </c>
      <c r="B214" s="11" t="s">
        <v>478</v>
      </c>
      <c r="C214" s="11" t="s">
        <v>368</v>
      </c>
      <c r="D214">
        <v>1500</v>
      </c>
      <c r="E214">
        <v>0.45</v>
      </c>
      <c r="F214">
        <v>675</v>
      </c>
    </row>
    <row r="215" spans="1:6" x14ac:dyDescent="0.25">
      <c r="A215" s="11" t="s">
        <v>14</v>
      </c>
      <c r="B215" s="11" t="s">
        <v>367</v>
      </c>
      <c r="C215" s="11" t="s">
        <v>368</v>
      </c>
      <c r="D215">
        <v>1166</v>
      </c>
      <c r="E215">
        <v>0.45</v>
      </c>
      <c r="F215">
        <v>524.70000000000005</v>
      </c>
    </row>
    <row r="216" spans="1:6" x14ac:dyDescent="0.25">
      <c r="A216" s="11" t="s">
        <v>14</v>
      </c>
      <c r="B216" s="11" t="s">
        <v>509</v>
      </c>
      <c r="C216" s="11" t="s">
        <v>510</v>
      </c>
      <c r="D216">
        <v>1109</v>
      </c>
      <c r="E216">
        <v>0.45</v>
      </c>
      <c r="F216">
        <v>499.05</v>
      </c>
    </row>
    <row r="217" spans="1:6" x14ac:dyDescent="0.25">
      <c r="A217" s="11" t="s">
        <v>14</v>
      </c>
      <c r="B217" s="11" t="s">
        <v>555</v>
      </c>
      <c r="C217" s="11" t="s">
        <v>510</v>
      </c>
      <c r="D217">
        <v>252</v>
      </c>
      <c r="E217">
        <v>0.45</v>
      </c>
      <c r="F217">
        <v>113.4</v>
      </c>
    </row>
    <row r="218" spans="1:6" x14ac:dyDescent="0.25">
      <c r="A218" s="11" t="s">
        <v>14</v>
      </c>
      <c r="B218" s="11" t="s">
        <v>463</v>
      </c>
      <c r="C218" s="11" t="s">
        <v>370</v>
      </c>
      <c r="D218">
        <v>268</v>
      </c>
      <c r="E218">
        <v>0.45</v>
      </c>
      <c r="F218">
        <v>120.6</v>
      </c>
    </row>
    <row r="219" spans="1:6" x14ac:dyDescent="0.25">
      <c r="A219" s="11" t="s">
        <v>14</v>
      </c>
      <c r="B219" s="11" t="s">
        <v>369</v>
      </c>
      <c r="C219" s="11" t="s">
        <v>370</v>
      </c>
      <c r="D219">
        <v>601</v>
      </c>
      <c r="E219">
        <v>0.45</v>
      </c>
      <c r="F219">
        <v>270.45</v>
      </c>
    </row>
    <row r="220" spans="1:6" x14ac:dyDescent="0.25">
      <c r="A220" s="11" t="s">
        <v>14</v>
      </c>
      <c r="B220" s="11" t="s">
        <v>441</v>
      </c>
      <c r="C220" s="11" t="s">
        <v>370</v>
      </c>
      <c r="D220">
        <v>3226</v>
      </c>
      <c r="E220">
        <v>0.45</v>
      </c>
      <c r="F220">
        <v>1451.7</v>
      </c>
    </row>
    <row r="221" spans="1:6" x14ac:dyDescent="0.25">
      <c r="A221" s="11" t="s">
        <v>14</v>
      </c>
      <c r="B221" s="11" t="s">
        <v>567</v>
      </c>
      <c r="C221" s="11" t="s">
        <v>568</v>
      </c>
      <c r="D221">
        <v>68.89</v>
      </c>
      <c r="E221">
        <v>0.450007257947453</v>
      </c>
      <c r="F221">
        <v>31.001000000000001</v>
      </c>
    </row>
    <row r="222" spans="1:6" x14ac:dyDescent="0.25">
      <c r="A222" s="11" t="s">
        <v>14</v>
      </c>
      <c r="B222" s="11" t="s">
        <v>537</v>
      </c>
      <c r="C222" s="11" t="s">
        <v>538</v>
      </c>
      <c r="D222">
        <v>661</v>
      </c>
      <c r="E222">
        <v>0.45</v>
      </c>
      <c r="F222">
        <v>297.45</v>
      </c>
    </row>
    <row r="223" spans="1:6" x14ac:dyDescent="0.25">
      <c r="A223" s="11" t="s">
        <v>14</v>
      </c>
      <c r="B223" s="11" t="s">
        <v>479</v>
      </c>
      <c r="C223" s="11" t="s">
        <v>376</v>
      </c>
      <c r="D223">
        <v>1323</v>
      </c>
      <c r="E223">
        <v>0.45</v>
      </c>
      <c r="F223">
        <v>595.35</v>
      </c>
    </row>
    <row r="224" spans="1:6" x14ac:dyDescent="0.25">
      <c r="A224" s="11" t="s">
        <v>14</v>
      </c>
      <c r="B224" s="11" t="s">
        <v>539</v>
      </c>
      <c r="C224" s="11" t="s">
        <v>540</v>
      </c>
      <c r="D224">
        <v>1106</v>
      </c>
      <c r="E224">
        <v>0.45</v>
      </c>
      <c r="F224">
        <v>497.7</v>
      </c>
    </row>
    <row r="225" spans="1:6" x14ac:dyDescent="0.25">
      <c r="A225" s="11" t="s">
        <v>14</v>
      </c>
      <c r="B225" s="11" t="s">
        <v>556</v>
      </c>
      <c r="C225" s="11" t="s">
        <v>404</v>
      </c>
      <c r="D225">
        <v>2142</v>
      </c>
      <c r="E225">
        <v>0.45</v>
      </c>
      <c r="F225">
        <v>963.9</v>
      </c>
    </row>
    <row r="226" spans="1:6" x14ac:dyDescent="0.25">
      <c r="A226" s="11" t="s">
        <v>14</v>
      </c>
      <c r="B226" s="11" t="s">
        <v>464</v>
      </c>
      <c r="C226" s="11" t="s">
        <v>404</v>
      </c>
      <c r="D226">
        <v>1082</v>
      </c>
      <c r="E226">
        <v>0.45</v>
      </c>
      <c r="F226">
        <v>486.9</v>
      </c>
    </row>
    <row r="227" spans="1:6" x14ac:dyDescent="0.25">
      <c r="A227" s="11" t="s">
        <v>14</v>
      </c>
      <c r="B227" s="11" t="s">
        <v>403</v>
      </c>
      <c r="C227" s="11" t="s">
        <v>404</v>
      </c>
      <c r="D227">
        <v>408</v>
      </c>
      <c r="E227">
        <v>0.45</v>
      </c>
      <c r="F227">
        <v>183.6</v>
      </c>
    </row>
    <row r="228" spans="1:6" x14ac:dyDescent="0.25">
      <c r="A228" s="11" t="s">
        <v>14</v>
      </c>
      <c r="B228" s="11" t="s">
        <v>558</v>
      </c>
      <c r="C228" s="11" t="s">
        <v>559</v>
      </c>
      <c r="D228">
        <v>3848</v>
      </c>
      <c r="E228">
        <v>0.45</v>
      </c>
      <c r="F228">
        <v>1731.6</v>
      </c>
    </row>
    <row r="229" spans="1:6" x14ac:dyDescent="0.25">
      <c r="A229" s="11" t="s">
        <v>14</v>
      </c>
      <c r="B229" s="11" t="s">
        <v>405</v>
      </c>
      <c r="C229" s="11" t="s">
        <v>406</v>
      </c>
      <c r="D229">
        <v>2480</v>
      </c>
      <c r="E229">
        <v>0.45</v>
      </c>
      <c r="F229">
        <v>1116</v>
      </c>
    </row>
    <row r="230" spans="1:6" x14ac:dyDescent="0.25">
      <c r="A230" s="11" t="s">
        <v>14</v>
      </c>
      <c r="B230" s="11" t="s">
        <v>465</v>
      </c>
      <c r="C230" s="11" t="s">
        <v>406</v>
      </c>
      <c r="D230">
        <v>1034</v>
      </c>
      <c r="E230">
        <v>0.45</v>
      </c>
      <c r="F230">
        <v>465.3</v>
      </c>
    </row>
    <row r="231" spans="1:6" x14ac:dyDescent="0.25">
      <c r="A231" s="11" t="s">
        <v>14</v>
      </c>
      <c r="B231" s="11" t="s">
        <v>442</v>
      </c>
      <c r="C231" s="11" t="s">
        <v>406</v>
      </c>
      <c r="D231">
        <v>4996</v>
      </c>
      <c r="E231">
        <v>0.45</v>
      </c>
      <c r="F231">
        <v>2248.1999999999998</v>
      </c>
    </row>
    <row r="232" spans="1:6" x14ac:dyDescent="0.25">
      <c r="A232" s="11" t="s">
        <v>14</v>
      </c>
      <c r="B232" s="11" t="s">
        <v>560</v>
      </c>
      <c r="C232" s="11" t="s">
        <v>481</v>
      </c>
      <c r="D232">
        <v>375</v>
      </c>
      <c r="E232">
        <v>0.45</v>
      </c>
      <c r="F232">
        <v>168.75</v>
      </c>
    </row>
    <row r="233" spans="1:6" x14ac:dyDescent="0.25">
      <c r="A233" s="11" t="s">
        <v>14</v>
      </c>
      <c r="B233" s="11" t="s">
        <v>480</v>
      </c>
      <c r="C233" s="11" t="s">
        <v>481</v>
      </c>
      <c r="D233">
        <v>1618</v>
      </c>
      <c r="E233">
        <v>0.45</v>
      </c>
      <c r="F233">
        <v>728.1</v>
      </c>
    </row>
    <row r="234" spans="1:6" x14ac:dyDescent="0.25">
      <c r="A234" s="11" t="s">
        <v>14</v>
      </c>
      <c r="B234" s="11" t="s">
        <v>511</v>
      </c>
      <c r="C234" s="11" t="s">
        <v>512</v>
      </c>
      <c r="D234">
        <v>4724</v>
      </c>
      <c r="E234">
        <v>0.45</v>
      </c>
      <c r="F234">
        <v>2125.8000000000002</v>
      </c>
    </row>
    <row r="235" spans="1:6" x14ac:dyDescent="0.25">
      <c r="A235" s="11" t="s">
        <v>14</v>
      </c>
      <c r="B235" s="11" t="s">
        <v>513</v>
      </c>
      <c r="C235" s="11" t="s">
        <v>514</v>
      </c>
      <c r="D235">
        <v>2583</v>
      </c>
      <c r="E235">
        <v>0.45</v>
      </c>
      <c r="F235">
        <v>1162.3499999999999</v>
      </c>
    </row>
    <row r="236" spans="1:6" x14ac:dyDescent="0.25">
      <c r="A236" s="11" t="s">
        <v>14</v>
      </c>
      <c r="B236" s="11" t="s">
        <v>513</v>
      </c>
      <c r="C236" s="11" t="s">
        <v>514</v>
      </c>
      <c r="D236">
        <v>1256</v>
      </c>
      <c r="E236">
        <v>0.45</v>
      </c>
      <c r="F236">
        <v>565.20000000000005</v>
      </c>
    </row>
    <row r="237" spans="1:6" x14ac:dyDescent="0.25">
      <c r="A237" s="11" t="s">
        <v>14</v>
      </c>
      <c r="B237" s="11" t="s">
        <v>569</v>
      </c>
      <c r="C237" s="11" t="s">
        <v>514</v>
      </c>
      <c r="D237">
        <v>2116</v>
      </c>
      <c r="E237">
        <v>0.45</v>
      </c>
      <c r="F237">
        <v>952.2</v>
      </c>
    </row>
    <row r="238" spans="1:6" x14ac:dyDescent="0.25">
      <c r="A238" s="11" t="s">
        <v>14</v>
      </c>
      <c r="B238" s="11" t="s">
        <v>570</v>
      </c>
      <c r="C238" s="11" t="s">
        <v>446</v>
      </c>
      <c r="D238">
        <v>150</v>
      </c>
      <c r="E238">
        <v>0.45</v>
      </c>
      <c r="F238">
        <v>67.5</v>
      </c>
    </row>
    <row r="239" spans="1:6" x14ac:dyDescent="0.25">
      <c r="A239" s="11" t="s">
        <v>14</v>
      </c>
      <c r="B239" s="11" t="s">
        <v>515</v>
      </c>
      <c r="C239" s="11" t="s">
        <v>446</v>
      </c>
      <c r="D239">
        <v>1177</v>
      </c>
      <c r="E239">
        <v>0.45</v>
      </c>
      <c r="F239">
        <v>529.65</v>
      </c>
    </row>
    <row r="240" spans="1:6" x14ac:dyDescent="0.25">
      <c r="A240" s="11" t="s">
        <v>14</v>
      </c>
      <c r="B240" s="11" t="s">
        <v>541</v>
      </c>
      <c r="C240" s="11" t="s">
        <v>446</v>
      </c>
      <c r="D240">
        <v>908</v>
      </c>
      <c r="E240">
        <v>0.45</v>
      </c>
      <c r="F240">
        <v>408.6</v>
      </c>
    </row>
    <row r="241" spans="1:6" x14ac:dyDescent="0.25">
      <c r="A241" s="11" t="s">
        <v>14</v>
      </c>
      <c r="B241" s="11" t="s">
        <v>445</v>
      </c>
      <c r="C241" s="11" t="s">
        <v>446</v>
      </c>
      <c r="D241">
        <v>1164</v>
      </c>
      <c r="E241">
        <v>0.45</v>
      </c>
      <c r="F241">
        <v>523.79999999999995</v>
      </c>
    </row>
    <row r="242" spans="1:6" x14ac:dyDescent="0.25">
      <c r="A242" s="11" t="s">
        <v>14</v>
      </c>
      <c r="B242" s="11" t="s">
        <v>407</v>
      </c>
      <c r="C242" s="11" t="s">
        <v>408</v>
      </c>
      <c r="D242">
        <v>2805</v>
      </c>
      <c r="E242">
        <v>0.45</v>
      </c>
      <c r="F242">
        <v>1262.25</v>
      </c>
    </row>
    <row r="243" spans="1:6" x14ac:dyDescent="0.25">
      <c r="A243" s="11" t="s">
        <v>14</v>
      </c>
      <c r="B243" s="11" t="s">
        <v>447</v>
      </c>
      <c r="C243" s="11" t="s">
        <v>448</v>
      </c>
      <c r="D243">
        <v>3219</v>
      </c>
      <c r="E243">
        <v>0.45</v>
      </c>
      <c r="F243">
        <v>1448.55</v>
      </c>
    </row>
    <row r="244" spans="1:6" x14ac:dyDescent="0.25">
      <c r="A244" s="11" t="s">
        <v>14</v>
      </c>
      <c r="B244" s="11" t="s">
        <v>371</v>
      </c>
      <c r="C244" s="11" t="s">
        <v>372</v>
      </c>
      <c r="D244">
        <v>1775</v>
      </c>
      <c r="E244">
        <v>0.45</v>
      </c>
      <c r="F244">
        <v>798.75</v>
      </c>
    </row>
    <row r="245" spans="1:6" x14ac:dyDescent="0.25">
      <c r="A245" s="11" t="s">
        <v>14</v>
      </c>
      <c r="B245" s="11" t="s">
        <v>528</v>
      </c>
      <c r="C245" s="11" t="s">
        <v>412</v>
      </c>
      <c r="D245">
        <v>2175</v>
      </c>
      <c r="E245">
        <v>0.45</v>
      </c>
      <c r="F245">
        <v>978.75</v>
      </c>
    </row>
    <row r="246" spans="1:6" x14ac:dyDescent="0.25">
      <c r="A246" s="11" t="s">
        <v>14</v>
      </c>
      <c r="B246" s="11" t="s">
        <v>411</v>
      </c>
      <c r="C246" s="11" t="s">
        <v>412</v>
      </c>
      <c r="D246">
        <v>5265</v>
      </c>
      <c r="E246">
        <v>0.45</v>
      </c>
      <c r="F246">
        <v>2369.25</v>
      </c>
    </row>
    <row r="247" spans="1:6" x14ac:dyDescent="0.25">
      <c r="A247" s="11" t="s">
        <v>14</v>
      </c>
      <c r="B247" s="11" t="s">
        <v>468</v>
      </c>
      <c r="C247" s="11" t="s">
        <v>448</v>
      </c>
      <c r="D247">
        <v>2008</v>
      </c>
      <c r="E247">
        <v>0.45</v>
      </c>
      <c r="F247">
        <v>903.6</v>
      </c>
    </row>
    <row r="248" spans="1:6" x14ac:dyDescent="0.25">
      <c r="A248" s="11" t="s">
        <v>14</v>
      </c>
      <c r="B248" s="11" t="s">
        <v>518</v>
      </c>
      <c r="C248" s="11" t="s">
        <v>519</v>
      </c>
      <c r="D248">
        <v>2549</v>
      </c>
      <c r="E248">
        <v>0.45</v>
      </c>
      <c r="F248">
        <v>1147.05</v>
      </c>
    </row>
    <row r="249" spans="1:6" x14ac:dyDescent="0.25">
      <c r="A249" s="11" t="s">
        <v>14</v>
      </c>
      <c r="B249" s="11" t="s">
        <v>380</v>
      </c>
      <c r="C249" s="11" t="s">
        <v>381</v>
      </c>
      <c r="D249">
        <v>442</v>
      </c>
      <c r="E249">
        <v>0.45</v>
      </c>
      <c r="F249">
        <v>198.9</v>
      </c>
    </row>
    <row r="250" spans="1:6" x14ac:dyDescent="0.25">
      <c r="A250" s="11" t="s">
        <v>14</v>
      </c>
      <c r="B250" s="11" t="s">
        <v>542</v>
      </c>
      <c r="C250" s="11" t="s">
        <v>381</v>
      </c>
      <c r="D250">
        <v>440</v>
      </c>
      <c r="E250">
        <v>0.45</v>
      </c>
      <c r="F250">
        <v>198</v>
      </c>
    </row>
    <row r="251" spans="1:6" x14ac:dyDescent="0.25">
      <c r="A251" s="11" t="s">
        <v>14</v>
      </c>
      <c r="B251" s="11" t="s">
        <v>571</v>
      </c>
      <c r="C251" s="11" t="s">
        <v>572</v>
      </c>
      <c r="D251">
        <v>5028</v>
      </c>
      <c r="E251">
        <v>0.45</v>
      </c>
      <c r="F251">
        <v>2262.6</v>
      </c>
    </row>
    <row r="252" spans="1:6" x14ac:dyDescent="0.25">
      <c r="A252" s="11" t="s">
        <v>14</v>
      </c>
      <c r="B252" s="11" t="s">
        <v>543</v>
      </c>
      <c r="C252" s="11" t="s">
        <v>414</v>
      </c>
      <c r="D252">
        <v>1426</v>
      </c>
      <c r="E252">
        <v>0.45</v>
      </c>
      <c r="F252">
        <v>641.70000000000005</v>
      </c>
    </row>
    <row r="253" spans="1:6" x14ac:dyDescent="0.25">
      <c r="A253" s="11" t="s">
        <v>14</v>
      </c>
      <c r="B253" s="11" t="s">
        <v>413</v>
      </c>
      <c r="C253" s="11" t="s">
        <v>414</v>
      </c>
      <c r="D253">
        <v>845</v>
      </c>
      <c r="E253">
        <v>0.45</v>
      </c>
      <c r="F253">
        <v>380.25</v>
      </c>
    </row>
    <row r="254" spans="1:6" x14ac:dyDescent="0.25">
      <c r="A254" s="11" t="s">
        <v>14</v>
      </c>
      <c r="B254" s="11" t="s">
        <v>573</v>
      </c>
      <c r="C254" s="11" t="s">
        <v>574</v>
      </c>
      <c r="D254">
        <v>4609</v>
      </c>
      <c r="E254">
        <v>0.45</v>
      </c>
      <c r="F254">
        <v>2074.0500000000002</v>
      </c>
    </row>
    <row r="255" spans="1:6" x14ac:dyDescent="0.25">
      <c r="A255" s="11" t="s">
        <v>14</v>
      </c>
      <c r="B255" s="11" t="s">
        <v>544</v>
      </c>
      <c r="C255" s="11" t="s">
        <v>545</v>
      </c>
      <c r="D255">
        <v>1067</v>
      </c>
      <c r="E255">
        <v>0.45</v>
      </c>
      <c r="F255">
        <v>480.15</v>
      </c>
    </row>
    <row r="256" spans="1:6" x14ac:dyDescent="0.25">
      <c r="A256" s="11" t="s">
        <v>14</v>
      </c>
      <c r="B256" s="11" t="s">
        <v>575</v>
      </c>
      <c r="C256" s="11" t="s">
        <v>545</v>
      </c>
      <c r="D256">
        <v>784</v>
      </c>
      <c r="E256">
        <v>0.45</v>
      </c>
      <c r="F256">
        <v>352.8</v>
      </c>
    </row>
    <row r="257" spans="1:6" x14ac:dyDescent="0.25">
      <c r="A257" s="11" t="s">
        <v>14</v>
      </c>
      <c r="B257" s="11" t="s">
        <v>561</v>
      </c>
      <c r="C257" s="11" t="s">
        <v>562</v>
      </c>
      <c r="D257">
        <v>4527</v>
      </c>
      <c r="E257">
        <v>0.45</v>
      </c>
      <c r="F257">
        <v>2037.15</v>
      </c>
    </row>
    <row r="258" spans="1:6" x14ac:dyDescent="0.25">
      <c r="A258" s="11" t="s">
        <v>14</v>
      </c>
      <c r="B258" s="11" t="s">
        <v>576</v>
      </c>
      <c r="C258" s="11" t="s">
        <v>577</v>
      </c>
      <c r="D258">
        <v>4963</v>
      </c>
      <c r="E258">
        <v>0.45</v>
      </c>
      <c r="F258">
        <v>2233.35</v>
      </c>
    </row>
    <row r="259" spans="1:6" x14ac:dyDescent="0.25">
      <c r="A259" s="11" t="s">
        <v>14</v>
      </c>
      <c r="B259" s="11" t="s">
        <v>578</v>
      </c>
      <c r="C259" s="11" t="s">
        <v>521</v>
      </c>
      <c r="D259">
        <v>2906</v>
      </c>
      <c r="E259">
        <v>0.45</v>
      </c>
      <c r="F259">
        <v>1307.7</v>
      </c>
    </row>
    <row r="260" spans="1:6" x14ac:dyDescent="0.25">
      <c r="A260" s="11" t="s">
        <v>14</v>
      </c>
      <c r="B260" s="11" t="s">
        <v>520</v>
      </c>
      <c r="C260" s="11" t="s">
        <v>521</v>
      </c>
      <c r="D260">
        <v>2172</v>
      </c>
      <c r="E260">
        <v>0.45</v>
      </c>
      <c r="F260">
        <v>977.4</v>
      </c>
    </row>
    <row r="261" spans="1:6" x14ac:dyDescent="0.25">
      <c r="A261" s="11" t="s">
        <v>14</v>
      </c>
      <c r="B261" s="11" t="s">
        <v>579</v>
      </c>
      <c r="C261" s="11" t="s">
        <v>416</v>
      </c>
      <c r="D261">
        <v>244</v>
      </c>
      <c r="E261">
        <v>0.45</v>
      </c>
      <c r="F261">
        <v>109.8</v>
      </c>
    </row>
    <row r="262" spans="1:6" x14ac:dyDescent="0.25">
      <c r="A262" s="11" t="s">
        <v>14</v>
      </c>
      <c r="B262" s="11" t="s">
        <v>415</v>
      </c>
      <c r="C262" s="11" t="s">
        <v>416</v>
      </c>
      <c r="D262">
        <v>2811</v>
      </c>
      <c r="E262">
        <v>0.45</v>
      </c>
      <c r="F262">
        <v>1264.95</v>
      </c>
    </row>
    <row r="263" spans="1:6" x14ac:dyDescent="0.25">
      <c r="A263" s="11" t="s">
        <v>14</v>
      </c>
      <c r="B263" s="11" t="s">
        <v>449</v>
      </c>
      <c r="C263" s="11" t="s">
        <v>416</v>
      </c>
      <c r="D263">
        <v>2278</v>
      </c>
      <c r="E263">
        <v>0.45</v>
      </c>
      <c r="F263">
        <v>1025.0999999999999</v>
      </c>
    </row>
    <row r="264" spans="1:6" x14ac:dyDescent="0.25">
      <c r="A264" s="11" t="s">
        <v>14</v>
      </c>
      <c r="B264" s="11" t="s">
        <v>580</v>
      </c>
      <c r="C264" s="11" t="s">
        <v>451</v>
      </c>
      <c r="D264">
        <v>3985</v>
      </c>
      <c r="E264">
        <v>0.45</v>
      </c>
      <c r="F264">
        <v>1793.25</v>
      </c>
    </row>
    <row r="265" spans="1:6" x14ac:dyDescent="0.25">
      <c r="A265" s="11" t="s">
        <v>14</v>
      </c>
      <c r="B265" s="11" t="s">
        <v>450</v>
      </c>
      <c r="C265" s="11" t="s">
        <v>451</v>
      </c>
      <c r="D265">
        <v>1612</v>
      </c>
      <c r="E265">
        <v>0.45</v>
      </c>
      <c r="F265">
        <v>725.4</v>
      </c>
    </row>
    <row r="266" spans="1:6" x14ac:dyDescent="0.25">
      <c r="A266" s="11" t="s">
        <v>14</v>
      </c>
      <c r="B266" s="11" t="s">
        <v>581</v>
      </c>
      <c r="C266" s="11" t="s">
        <v>451</v>
      </c>
      <c r="D266">
        <v>1058</v>
      </c>
      <c r="E266">
        <v>0.45</v>
      </c>
      <c r="F266">
        <v>476.1</v>
      </c>
    </row>
    <row r="267" spans="1:6" x14ac:dyDescent="0.25">
      <c r="A267" s="11" t="s">
        <v>14</v>
      </c>
      <c r="B267" s="11" t="s">
        <v>582</v>
      </c>
      <c r="C267" s="11" t="s">
        <v>525</v>
      </c>
      <c r="D267">
        <v>7581</v>
      </c>
      <c r="E267">
        <v>0.45</v>
      </c>
      <c r="F267">
        <v>3411.45</v>
      </c>
    </row>
    <row r="268" spans="1:6" x14ac:dyDescent="0.25">
      <c r="A268" s="11" t="s">
        <v>14</v>
      </c>
      <c r="B268" s="11" t="s">
        <v>373</v>
      </c>
      <c r="C268" s="11" t="s">
        <v>374</v>
      </c>
      <c r="D268">
        <v>1256</v>
      </c>
      <c r="E268">
        <v>0.45</v>
      </c>
      <c r="F268">
        <v>565.20000000000005</v>
      </c>
    </row>
    <row r="269" spans="1:6" x14ac:dyDescent="0.25">
      <c r="A269" s="11" t="s">
        <v>14</v>
      </c>
      <c r="B269" s="11" t="s">
        <v>382</v>
      </c>
      <c r="C269" s="11" t="s">
        <v>374</v>
      </c>
      <c r="D269">
        <v>211</v>
      </c>
      <c r="E269">
        <v>0.45</v>
      </c>
      <c r="F269">
        <v>94.95</v>
      </c>
    </row>
    <row r="270" spans="1:6" x14ac:dyDescent="0.25">
      <c r="A270" s="11" t="s">
        <v>14</v>
      </c>
      <c r="B270" s="11" t="s">
        <v>583</v>
      </c>
      <c r="C270" s="11" t="s">
        <v>584</v>
      </c>
      <c r="D270">
        <v>541</v>
      </c>
      <c r="E270">
        <v>0.45</v>
      </c>
      <c r="F270">
        <v>243.45</v>
      </c>
    </row>
    <row r="271" spans="1:6" x14ac:dyDescent="0.25">
      <c r="A271" s="11" t="s">
        <v>14</v>
      </c>
      <c r="B271" s="11" t="s">
        <v>452</v>
      </c>
      <c r="C271" s="11" t="s">
        <v>453</v>
      </c>
      <c r="D271">
        <v>1202</v>
      </c>
      <c r="E271">
        <v>0.45</v>
      </c>
      <c r="F271">
        <v>540.9</v>
      </c>
    </row>
    <row r="272" spans="1:6" x14ac:dyDescent="0.25">
      <c r="A272" s="11" t="s">
        <v>14</v>
      </c>
      <c r="B272" s="11" t="s">
        <v>563</v>
      </c>
      <c r="C272" s="11" t="s">
        <v>353</v>
      </c>
      <c r="D272">
        <v>2786</v>
      </c>
      <c r="E272">
        <v>0.45</v>
      </c>
      <c r="F272">
        <v>1253.7</v>
      </c>
    </row>
    <row r="273" spans="1:6" x14ac:dyDescent="0.25">
      <c r="A273" s="11" t="s">
        <v>14</v>
      </c>
      <c r="B273" s="11" t="s">
        <v>352</v>
      </c>
      <c r="C273" s="11" t="s">
        <v>353</v>
      </c>
      <c r="D273">
        <v>1491</v>
      </c>
      <c r="E273">
        <v>0.45</v>
      </c>
      <c r="F273">
        <v>670.95</v>
      </c>
    </row>
    <row r="274" spans="1:6" x14ac:dyDescent="0.25">
      <c r="A274" s="11" t="s">
        <v>14</v>
      </c>
      <c r="B274" s="11" t="s">
        <v>469</v>
      </c>
      <c r="C274" s="11" t="s">
        <v>470</v>
      </c>
      <c r="D274">
        <v>2428</v>
      </c>
      <c r="E274">
        <v>0.45</v>
      </c>
      <c r="F274">
        <v>1092.5999999999999</v>
      </c>
    </row>
    <row r="275" spans="1:6" x14ac:dyDescent="0.25">
      <c r="A275" s="11" t="s">
        <v>14</v>
      </c>
      <c r="B275" s="11" t="s">
        <v>417</v>
      </c>
      <c r="C275" s="11" t="s">
        <v>418</v>
      </c>
      <c r="D275">
        <v>3332</v>
      </c>
      <c r="E275">
        <v>0.45</v>
      </c>
      <c r="F275">
        <v>1499.4</v>
      </c>
    </row>
    <row r="276" spans="1:6" x14ac:dyDescent="0.25">
      <c r="A276" s="11" t="s">
        <v>14</v>
      </c>
      <c r="B276" s="11" t="s">
        <v>419</v>
      </c>
      <c r="C276" s="11" t="s">
        <v>420</v>
      </c>
      <c r="D276">
        <v>722</v>
      </c>
      <c r="E276">
        <v>0.45</v>
      </c>
      <c r="F276">
        <v>324.89999999999998</v>
      </c>
    </row>
    <row r="277" spans="1:6" x14ac:dyDescent="0.25">
      <c r="A277" s="11" t="s">
        <v>14</v>
      </c>
      <c r="B277" s="11" t="s">
        <v>529</v>
      </c>
      <c r="C277" s="11" t="s">
        <v>420</v>
      </c>
      <c r="D277">
        <v>1704</v>
      </c>
      <c r="E277">
        <v>0.45</v>
      </c>
      <c r="F277">
        <v>766.8</v>
      </c>
    </row>
    <row r="278" spans="1:6" x14ac:dyDescent="0.25">
      <c r="A278" s="11" t="s">
        <v>14</v>
      </c>
      <c r="B278" s="11" t="s">
        <v>471</v>
      </c>
      <c r="C278" s="11" t="s">
        <v>420</v>
      </c>
      <c r="D278">
        <v>1576</v>
      </c>
      <c r="E278">
        <v>0.45</v>
      </c>
      <c r="F278">
        <v>709.2</v>
      </c>
    </row>
    <row r="279" spans="1:6" x14ac:dyDescent="0.25">
      <c r="A279" s="11" t="s">
        <v>14</v>
      </c>
      <c r="B279" s="11" t="s">
        <v>421</v>
      </c>
      <c r="C279" s="11" t="s">
        <v>422</v>
      </c>
      <c r="D279">
        <v>288</v>
      </c>
      <c r="E279">
        <v>0.45</v>
      </c>
      <c r="F279">
        <v>129.6</v>
      </c>
    </row>
    <row r="280" spans="1:6" x14ac:dyDescent="0.25">
      <c r="A280" s="11" t="s">
        <v>14</v>
      </c>
      <c r="B280" s="11" t="s">
        <v>423</v>
      </c>
      <c r="C280" s="11" t="s">
        <v>422</v>
      </c>
      <c r="D280">
        <v>4243</v>
      </c>
      <c r="E280">
        <v>0.45</v>
      </c>
      <c r="F280">
        <v>1909.35</v>
      </c>
    </row>
    <row r="281" spans="1:6" x14ac:dyDescent="0.25">
      <c r="A281" s="11" t="s">
        <v>585</v>
      </c>
      <c r="B281">
        <v>188709.89</v>
      </c>
      <c r="C281">
        <v>0.49442056799460798</v>
      </c>
      <c r="D281">
        <v>93302.051000000007</v>
      </c>
    </row>
    <row r="282" spans="1:6" x14ac:dyDescent="0.25">
      <c r="A282" s="11" t="s">
        <v>586</v>
      </c>
    </row>
    <row r="283" spans="1:6" x14ac:dyDescent="0.25">
      <c r="A283" s="11" t="s">
        <v>14</v>
      </c>
      <c r="B283" s="11" t="s">
        <v>587</v>
      </c>
      <c r="C283" s="11" t="s">
        <v>568</v>
      </c>
      <c r="D283">
        <v>-586</v>
      </c>
      <c r="E283">
        <v>85.4</v>
      </c>
      <c r="F283">
        <v>-50044.4</v>
      </c>
    </row>
    <row r="284" spans="1:6" x14ac:dyDescent="0.25">
      <c r="A284" s="11" t="s">
        <v>588</v>
      </c>
      <c r="B284">
        <v>-586</v>
      </c>
      <c r="C284">
        <v>85.4</v>
      </c>
      <c r="D284">
        <v>-50044.4</v>
      </c>
    </row>
    <row r="285" spans="1:6" x14ac:dyDescent="0.25">
      <c r="A285" s="11" t="s">
        <v>589</v>
      </c>
    </row>
    <row r="286" spans="1:6" x14ac:dyDescent="0.25">
      <c r="A286" s="11" t="s">
        <v>14</v>
      </c>
      <c r="B286" s="11" t="s">
        <v>569</v>
      </c>
      <c r="C286" s="11" t="s">
        <v>514</v>
      </c>
      <c r="D286">
        <v>2116</v>
      </c>
      <c r="E286">
        <v>99.75</v>
      </c>
      <c r="F286">
        <v>211071</v>
      </c>
    </row>
    <row r="287" spans="1:6" x14ac:dyDescent="0.25">
      <c r="A287" s="11" t="s">
        <v>590</v>
      </c>
      <c r="B287">
        <v>2116</v>
      </c>
      <c r="C287">
        <v>99.75</v>
      </c>
      <c r="D287">
        <v>211071</v>
      </c>
    </row>
    <row r="288" spans="1:6" x14ac:dyDescent="0.25">
      <c r="A288" s="11" t="s">
        <v>591</v>
      </c>
    </row>
    <row r="289" spans="1:6" x14ac:dyDescent="0.25">
      <c r="A289" s="11" t="s">
        <v>14</v>
      </c>
      <c r="B289" s="11" t="s">
        <v>565</v>
      </c>
      <c r="C289" s="11" t="s">
        <v>566</v>
      </c>
      <c r="D289">
        <v>158</v>
      </c>
      <c r="E289">
        <v>99.54</v>
      </c>
      <c r="F289">
        <v>15727.32</v>
      </c>
    </row>
    <row r="290" spans="1:6" x14ac:dyDescent="0.25">
      <c r="A290" s="11" t="s">
        <v>592</v>
      </c>
      <c r="B290">
        <v>158</v>
      </c>
      <c r="C290">
        <v>99.54</v>
      </c>
      <c r="D290">
        <v>15727.32</v>
      </c>
    </row>
    <row r="291" spans="1:6" x14ac:dyDescent="0.25">
      <c r="A291" s="11" t="s">
        <v>291</v>
      </c>
    </row>
    <row r="292" spans="1:6" x14ac:dyDescent="0.25">
      <c r="A292" s="11" t="s">
        <v>14</v>
      </c>
      <c r="B292" s="11" t="s">
        <v>593</v>
      </c>
      <c r="C292" s="11" t="s">
        <v>594</v>
      </c>
      <c r="D292">
        <v>44.5</v>
      </c>
      <c r="E292">
        <v>99.36</v>
      </c>
      <c r="F292">
        <v>4421.5200000000004</v>
      </c>
    </row>
    <row r="293" spans="1:6" x14ac:dyDescent="0.25">
      <c r="A293" s="11" t="s">
        <v>14</v>
      </c>
      <c r="B293" s="11" t="s">
        <v>567</v>
      </c>
      <c r="C293" s="11" t="s">
        <v>568</v>
      </c>
      <c r="D293">
        <v>73</v>
      </c>
      <c r="E293">
        <v>106.79</v>
      </c>
      <c r="F293">
        <v>7795.67</v>
      </c>
    </row>
    <row r="294" spans="1:6" x14ac:dyDescent="0.25">
      <c r="A294" s="11" t="s">
        <v>14</v>
      </c>
      <c r="B294" s="11" t="s">
        <v>570</v>
      </c>
      <c r="C294" s="11" t="s">
        <v>446</v>
      </c>
      <c r="D294">
        <v>150</v>
      </c>
      <c r="E294">
        <v>106.79</v>
      </c>
      <c r="F294">
        <v>16018.5</v>
      </c>
    </row>
    <row r="295" spans="1:6" x14ac:dyDescent="0.25">
      <c r="A295" s="11" t="s">
        <v>295</v>
      </c>
      <c r="B295">
        <v>267.5</v>
      </c>
      <c r="C295">
        <v>105.553981308411</v>
      </c>
      <c r="D295">
        <v>28235.69</v>
      </c>
    </row>
    <row r="296" spans="1:6" x14ac:dyDescent="0.25">
      <c r="A296" s="11" t="s">
        <v>296</v>
      </c>
    </row>
    <row r="297" spans="1:6" x14ac:dyDescent="0.25">
      <c r="A297" s="11" t="s">
        <v>14</v>
      </c>
      <c r="B297" s="11" t="s">
        <v>595</v>
      </c>
      <c r="C297" s="11" t="s">
        <v>356</v>
      </c>
      <c r="D297">
        <v>792</v>
      </c>
      <c r="E297">
        <v>75.94</v>
      </c>
      <c r="F297">
        <v>60144.480000000003</v>
      </c>
    </row>
    <row r="298" spans="1:6" x14ac:dyDescent="0.25">
      <c r="A298" s="11" t="s">
        <v>14</v>
      </c>
      <c r="B298" s="11" t="s">
        <v>596</v>
      </c>
      <c r="C298" s="11" t="s">
        <v>597</v>
      </c>
      <c r="D298">
        <v>1351</v>
      </c>
      <c r="E298">
        <v>75.94</v>
      </c>
      <c r="F298">
        <v>102594.94</v>
      </c>
    </row>
    <row r="299" spans="1:6" x14ac:dyDescent="0.25">
      <c r="A299" s="11" t="s">
        <v>14</v>
      </c>
      <c r="B299" s="11" t="s">
        <v>598</v>
      </c>
      <c r="C299" s="11" t="s">
        <v>599</v>
      </c>
      <c r="D299">
        <v>2060</v>
      </c>
      <c r="E299">
        <v>75.94</v>
      </c>
      <c r="F299">
        <v>156436.4</v>
      </c>
    </row>
    <row r="300" spans="1:6" x14ac:dyDescent="0.25">
      <c r="A300" s="11" t="s">
        <v>14</v>
      </c>
      <c r="B300" s="11" t="s">
        <v>600</v>
      </c>
      <c r="C300" s="11" t="s">
        <v>601</v>
      </c>
      <c r="D300">
        <v>5686</v>
      </c>
      <c r="E300">
        <v>75.94</v>
      </c>
      <c r="F300">
        <v>431794.84</v>
      </c>
    </row>
    <row r="301" spans="1:6" x14ac:dyDescent="0.25">
      <c r="A301" s="11" t="s">
        <v>14</v>
      </c>
      <c r="B301" s="11" t="s">
        <v>602</v>
      </c>
      <c r="C301" s="11" t="s">
        <v>603</v>
      </c>
      <c r="D301">
        <v>2066</v>
      </c>
      <c r="E301">
        <v>75.94</v>
      </c>
      <c r="F301">
        <v>156892.04</v>
      </c>
    </row>
    <row r="302" spans="1:6" x14ac:dyDescent="0.25">
      <c r="A302" s="11" t="s">
        <v>14</v>
      </c>
      <c r="B302" s="11" t="s">
        <v>604</v>
      </c>
      <c r="C302" s="11" t="s">
        <v>605</v>
      </c>
      <c r="D302">
        <v>1623</v>
      </c>
      <c r="E302">
        <v>75.94</v>
      </c>
      <c r="F302">
        <v>123250.62</v>
      </c>
    </row>
    <row r="303" spans="1:6" x14ac:dyDescent="0.25">
      <c r="A303" s="11" t="s">
        <v>14</v>
      </c>
      <c r="B303" s="11" t="s">
        <v>606</v>
      </c>
      <c r="C303" s="11" t="s">
        <v>358</v>
      </c>
      <c r="D303">
        <v>2434</v>
      </c>
      <c r="E303">
        <v>75.94</v>
      </c>
      <c r="F303">
        <v>184837.96</v>
      </c>
    </row>
    <row r="304" spans="1:6" x14ac:dyDescent="0.25">
      <c r="A304" s="11" t="s">
        <v>14</v>
      </c>
      <c r="B304" s="11" t="s">
        <v>607</v>
      </c>
      <c r="C304" s="11" t="s">
        <v>608</v>
      </c>
      <c r="D304">
        <v>1829</v>
      </c>
      <c r="E304">
        <v>75.94</v>
      </c>
      <c r="F304">
        <v>138894.26</v>
      </c>
    </row>
    <row r="305" spans="1:6" x14ac:dyDescent="0.25">
      <c r="A305" s="11" t="s">
        <v>14</v>
      </c>
      <c r="B305" s="11" t="s">
        <v>609</v>
      </c>
      <c r="C305" s="11" t="s">
        <v>610</v>
      </c>
      <c r="D305">
        <v>1434.5</v>
      </c>
      <c r="E305">
        <v>75.94</v>
      </c>
      <c r="F305">
        <v>108935.93</v>
      </c>
    </row>
    <row r="306" spans="1:6" x14ac:dyDescent="0.25">
      <c r="A306" s="11" t="s">
        <v>14</v>
      </c>
      <c r="B306" s="11" t="s">
        <v>611</v>
      </c>
      <c r="C306" s="11" t="s">
        <v>487</v>
      </c>
      <c r="D306">
        <v>6444</v>
      </c>
      <c r="E306">
        <v>75.94</v>
      </c>
      <c r="F306">
        <v>489357.36</v>
      </c>
    </row>
    <row r="307" spans="1:6" x14ac:dyDescent="0.25">
      <c r="A307" s="11" t="s">
        <v>14</v>
      </c>
      <c r="B307" s="11" t="s">
        <v>612</v>
      </c>
      <c r="C307" s="11" t="s">
        <v>613</v>
      </c>
      <c r="D307">
        <v>1494</v>
      </c>
      <c r="E307">
        <v>75.94</v>
      </c>
      <c r="F307">
        <v>113454.36</v>
      </c>
    </row>
    <row r="308" spans="1:6" x14ac:dyDescent="0.25">
      <c r="A308" s="11" t="s">
        <v>14</v>
      </c>
      <c r="B308" s="11" t="s">
        <v>614</v>
      </c>
      <c r="C308" s="11" t="s">
        <v>551</v>
      </c>
      <c r="D308">
        <v>1902</v>
      </c>
      <c r="E308">
        <v>75.94</v>
      </c>
      <c r="F308">
        <v>144437.88</v>
      </c>
    </row>
    <row r="309" spans="1:6" x14ac:dyDescent="0.25">
      <c r="A309" s="11" t="s">
        <v>14</v>
      </c>
      <c r="B309" s="11" t="s">
        <v>615</v>
      </c>
      <c r="C309" s="11" t="s">
        <v>392</v>
      </c>
      <c r="D309">
        <v>690</v>
      </c>
      <c r="E309">
        <v>75.94</v>
      </c>
      <c r="F309">
        <v>52398.6</v>
      </c>
    </row>
    <row r="310" spans="1:6" x14ac:dyDescent="0.25">
      <c r="A310" s="11" t="s">
        <v>14</v>
      </c>
      <c r="B310" s="11" t="s">
        <v>616</v>
      </c>
      <c r="C310" s="11" t="s">
        <v>617</v>
      </c>
      <c r="D310">
        <v>2917</v>
      </c>
      <c r="E310">
        <v>75.94</v>
      </c>
      <c r="F310">
        <v>221516.98</v>
      </c>
    </row>
    <row r="311" spans="1:6" x14ac:dyDescent="0.25">
      <c r="A311" s="11" t="s">
        <v>14</v>
      </c>
      <c r="B311" s="11" t="s">
        <v>571</v>
      </c>
      <c r="C311" s="11" t="s">
        <v>572</v>
      </c>
      <c r="D311">
        <v>5028</v>
      </c>
      <c r="E311">
        <v>81.27</v>
      </c>
      <c r="F311">
        <v>408625.56</v>
      </c>
    </row>
    <row r="312" spans="1:6" x14ac:dyDescent="0.25">
      <c r="A312" s="11" t="s">
        <v>14</v>
      </c>
      <c r="B312" s="11" t="s">
        <v>573</v>
      </c>
      <c r="C312" s="11" t="s">
        <v>574</v>
      </c>
      <c r="D312">
        <v>4609</v>
      </c>
      <c r="E312">
        <v>81.27</v>
      </c>
      <c r="F312">
        <v>374573.43</v>
      </c>
    </row>
    <row r="313" spans="1:6" x14ac:dyDescent="0.25">
      <c r="A313" s="11" t="s">
        <v>14</v>
      </c>
      <c r="B313" s="11" t="s">
        <v>575</v>
      </c>
      <c r="C313" s="11" t="s">
        <v>545</v>
      </c>
      <c r="D313">
        <v>784</v>
      </c>
      <c r="E313">
        <v>81.27</v>
      </c>
      <c r="F313">
        <v>63715.68</v>
      </c>
    </row>
    <row r="314" spans="1:6" x14ac:dyDescent="0.25">
      <c r="A314" s="11" t="s">
        <v>14</v>
      </c>
      <c r="B314" s="11" t="s">
        <v>618</v>
      </c>
      <c r="C314" s="11" t="s">
        <v>577</v>
      </c>
      <c r="D314">
        <v>4963</v>
      </c>
      <c r="E314">
        <v>81.27</v>
      </c>
      <c r="F314">
        <v>403343.01</v>
      </c>
    </row>
    <row r="315" spans="1:6" x14ac:dyDescent="0.25">
      <c r="A315" s="11" t="s">
        <v>14</v>
      </c>
      <c r="B315" s="11" t="s">
        <v>578</v>
      </c>
      <c r="C315" s="11" t="s">
        <v>521</v>
      </c>
      <c r="D315">
        <v>2906</v>
      </c>
      <c r="E315">
        <v>81.27</v>
      </c>
      <c r="F315">
        <v>236170.62</v>
      </c>
    </row>
    <row r="316" spans="1:6" x14ac:dyDescent="0.25">
      <c r="A316" s="11" t="s">
        <v>14</v>
      </c>
      <c r="B316" s="11" t="s">
        <v>579</v>
      </c>
      <c r="C316" s="11" t="s">
        <v>416</v>
      </c>
      <c r="D316">
        <v>748</v>
      </c>
      <c r="E316">
        <v>81.27</v>
      </c>
      <c r="F316">
        <v>60789.96</v>
      </c>
    </row>
    <row r="317" spans="1:6" x14ac:dyDescent="0.25">
      <c r="A317" s="11" t="s">
        <v>14</v>
      </c>
      <c r="B317" s="11" t="s">
        <v>580</v>
      </c>
      <c r="C317" s="11" t="s">
        <v>451</v>
      </c>
      <c r="D317">
        <v>3985</v>
      </c>
      <c r="E317">
        <v>81.27</v>
      </c>
      <c r="F317">
        <v>323860.95</v>
      </c>
    </row>
    <row r="318" spans="1:6" x14ac:dyDescent="0.25">
      <c r="A318" s="11" t="s">
        <v>14</v>
      </c>
      <c r="B318" s="11" t="s">
        <v>582</v>
      </c>
      <c r="C318" s="11" t="s">
        <v>525</v>
      </c>
      <c r="D318">
        <v>7581</v>
      </c>
      <c r="E318">
        <v>81.27</v>
      </c>
      <c r="F318">
        <v>616107.87</v>
      </c>
    </row>
    <row r="319" spans="1:6" x14ac:dyDescent="0.25">
      <c r="A319" s="11" t="s">
        <v>14</v>
      </c>
      <c r="B319" s="11" t="s">
        <v>583</v>
      </c>
      <c r="C319" s="11" t="s">
        <v>584</v>
      </c>
      <c r="D319">
        <v>541</v>
      </c>
      <c r="E319">
        <v>81.27</v>
      </c>
      <c r="F319">
        <v>43967.07</v>
      </c>
    </row>
    <row r="320" spans="1:6" x14ac:dyDescent="0.25">
      <c r="A320" s="11" t="s">
        <v>307</v>
      </c>
      <c r="B320">
        <v>63867.5</v>
      </c>
      <c r="C320">
        <v>78.539175637061106</v>
      </c>
      <c r="D320">
        <v>5016100.8</v>
      </c>
    </row>
    <row r="321" spans="1:6" x14ac:dyDescent="0.25">
      <c r="A321" s="11" t="s">
        <v>619</v>
      </c>
    </row>
    <row r="322" spans="1:6" x14ac:dyDescent="0.25">
      <c r="A322" s="11" t="s">
        <v>14</v>
      </c>
      <c r="B322" s="11" t="s">
        <v>581</v>
      </c>
      <c r="C322" s="11" t="s">
        <v>451</v>
      </c>
      <c r="D322">
        <v>1058</v>
      </c>
      <c r="E322">
        <v>94.76</v>
      </c>
      <c r="F322">
        <v>100256.08</v>
      </c>
    </row>
    <row r="323" spans="1:6" x14ac:dyDescent="0.25">
      <c r="A323" s="11" t="s">
        <v>620</v>
      </c>
      <c r="B323">
        <v>1058</v>
      </c>
      <c r="C323">
        <v>94.76</v>
      </c>
      <c r="D323">
        <v>100256.08</v>
      </c>
    </row>
    <row r="324" spans="1:6" x14ac:dyDescent="0.25">
      <c r="A324" s="11" t="s">
        <v>337</v>
      </c>
      <c r="B324">
        <v>22553982.306000002</v>
      </c>
    </row>
    <row r="325" spans="1:6" x14ac:dyDescent="0.25">
      <c r="A325" s="11" t="s">
        <v>338</v>
      </c>
      <c r="B325" s="11" t="s">
        <v>14</v>
      </c>
      <c r="C325" s="11" t="s">
        <v>14</v>
      </c>
      <c r="D325">
        <v>22553982.306000002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62B7-653B-443A-8F31-4F65CFED20BF}">
  <dimension ref="A1:F238"/>
  <sheetViews>
    <sheetView workbookViewId="0">
      <selection sqref="A1:B4"/>
    </sheetView>
  </sheetViews>
  <sheetFormatPr defaultRowHeight="15" x14ac:dyDescent="0.25"/>
  <cols>
    <col min="1" max="1" width="55.5703125" bestFit="1" customWidth="1"/>
    <col min="2" max="4" width="12" bestFit="1" customWidth="1"/>
    <col min="5" max="5" width="8.85546875" bestFit="1" customWidth="1"/>
    <col min="6" max="6" width="11" bestFit="1" customWidth="1"/>
  </cols>
  <sheetData>
    <row r="1" spans="1:6" x14ac:dyDescent="0.25">
      <c r="A1" t="s">
        <v>339</v>
      </c>
      <c r="B1" s="12">
        <f>SUM(B23,B48,B75,B96,B102,B109,B105,B125,B160,B164,B167,B173,B188,B191,B194,B197,B201,B209,B216,B212,B219,B225,B229,B236)</f>
        <v>213080.42</v>
      </c>
    </row>
    <row r="2" spans="1:6" x14ac:dyDescent="0.25">
      <c r="A2" t="s">
        <v>342</v>
      </c>
      <c r="B2" s="12">
        <v>0</v>
      </c>
    </row>
    <row r="3" spans="1:6" x14ac:dyDescent="0.25">
      <c r="A3" t="s">
        <v>623</v>
      </c>
      <c r="B3" s="12">
        <f>-B209</f>
        <v>-20693.5</v>
      </c>
    </row>
    <row r="4" spans="1:6" ht="15.75" thickBot="1" x14ac:dyDescent="0.3">
      <c r="A4" t="s">
        <v>341</v>
      </c>
      <c r="B4" s="13">
        <f>SUM(B1:B3)</f>
        <v>192386.92</v>
      </c>
    </row>
    <row r="5" spans="1:6" ht="15.75" thickTop="1" x14ac:dyDescent="0.25"/>
    <row r="6" spans="1:6" x14ac:dyDescent="0.25">
      <c r="A6" s="11" t="s">
        <v>12</v>
      </c>
    </row>
    <row r="7" spans="1:6" x14ac:dyDescent="0.25">
      <c r="A7" s="11" t="s">
        <v>13</v>
      </c>
    </row>
    <row r="8" spans="1:6" x14ac:dyDescent="0.25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 t="s">
        <v>19</v>
      </c>
    </row>
    <row r="9" spans="1:6" x14ac:dyDescent="0.25">
      <c r="A9" s="11" t="s">
        <v>20</v>
      </c>
    </row>
    <row r="10" spans="1:6" x14ac:dyDescent="0.25">
      <c r="A10" s="11" t="s">
        <v>21</v>
      </c>
    </row>
    <row r="11" spans="1:6" x14ac:dyDescent="0.25">
      <c r="A11" s="11" t="s">
        <v>14</v>
      </c>
      <c r="B11" s="11" t="s">
        <v>22</v>
      </c>
      <c r="C11" s="11" t="s">
        <v>23</v>
      </c>
      <c r="D11" s="11" t="s">
        <v>14</v>
      </c>
      <c r="E11" s="11" t="s">
        <v>14</v>
      </c>
      <c r="F11">
        <v>2873</v>
      </c>
    </row>
    <row r="12" spans="1:6" x14ac:dyDescent="0.25">
      <c r="A12" s="11" t="s">
        <v>24</v>
      </c>
      <c r="B12" s="11" t="s">
        <v>14</v>
      </c>
      <c r="C12" s="11" t="s">
        <v>14</v>
      </c>
      <c r="D12">
        <v>2873</v>
      </c>
    </row>
    <row r="13" spans="1:6" x14ac:dyDescent="0.25">
      <c r="A13" s="11" t="s">
        <v>25</v>
      </c>
    </row>
    <row r="14" spans="1:6" x14ac:dyDescent="0.25">
      <c r="A14" s="11" t="s">
        <v>14</v>
      </c>
      <c r="B14" s="11" t="s">
        <v>26</v>
      </c>
      <c r="C14" s="11" t="s">
        <v>27</v>
      </c>
      <c r="D14">
        <v>717.5</v>
      </c>
      <c r="E14">
        <v>71.33</v>
      </c>
      <c r="F14">
        <v>51179.275000000001</v>
      </c>
    </row>
    <row r="15" spans="1:6" x14ac:dyDescent="0.25">
      <c r="A15" s="11" t="s">
        <v>14</v>
      </c>
      <c r="B15" s="11" t="s">
        <v>28</v>
      </c>
      <c r="C15" s="11" t="s">
        <v>29</v>
      </c>
      <c r="D15">
        <v>1568</v>
      </c>
      <c r="E15">
        <v>71.33</v>
      </c>
      <c r="F15">
        <v>111845.44</v>
      </c>
    </row>
    <row r="16" spans="1:6" x14ac:dyDescent="0.25">
      <c r="A16" s="11" t="s">
        <v>14</v>
      </c>
      <c r="B16" s="11" t="s">
        <v>30</v>
      </c>
      <c r="C16" s="11" t="s">
        <v>31</v>
      </c>
      <c r="D16">
        <v>4638</v>
      </c>
      <c r="E16">
        <v>71.33</v>
      </c>
      <c r="F16">
        <v>330828.53999999998</v>
      </c>
    </row>
    <row r="17" spans="1:6" x14ac:dyDescent="0.25">
      <c r="A17" s="11" t="s">
        <v>14</v>
      </c>
      <c r="B17" s="11" t="s">
        <v>32</v>
      </c>
      <c r="C17" s="11" t="s">
        <v>33</v>
      </c>
      <c r="D17">
        <v>1122</v>
      </c>
      <c r="E17">
        <v>74.92</v>
      </c>
      <c r="F17">
        <v>84060.24</v>
      </c>
    </row>
    <row r="18" spans="1:6" x14ac:dyDescent="0.25">
      <c r="A18" s="11" t="s">
        <v>14</v>
      </c>
      <c r="B18" s="11" t="s">
        <v>34</v>
      </c>
      <c r="C18" s="11" t="s">
        <v>35</v>
      </c>
      <c r="D18">
        <v>1232</v>
      </c>
      <c r="E18">
        <v>74.92</v>
      </c>
      <c r="F18">
        <v>92301.440000000002</v>
      </c>
    </row>
    <row r="19" spans="1:6" x14ac:dyDescent="0.25">
      <c r="A19" s="11" t="s">
        <v>14</v>
      </c>
      <c r="B19" s="11" t="s">
        <v>36</v>
      </c>
      <c r="C19" s="11" t="s">
        <v>37</v>
      </c>
      <c r="D19">
        <v>1123.5</v>
      </c>
      <c r="E19">
        <v>74.92</v>
      </c>
      <c r="F19">
        <v>84172.62</v>
      </c>
    </row>
    <row r="20" spans="1:6" x14ac:dyDescent="0.25">
      <c r="A20" s="11" t="s">
        <v>14</v>
      </c>
      <c r="B20" s="11" t="s">
        <v>38</v>
      </c>
      <c r="C20" s="11" t="s">
        <v>39</v>
      </c>
      <c r="D20">
        <v>1081.5</v>
      </c>
      <c r="E20">
        <v>74.92</v>
      </c>
      <c r="F20">
        <v>81025.98</v>
      </c>
    </row>
    <row r="21" spans="1:6" x14ac:dyDescent="0.25">
      <c r="A21" s="11" t="s">
        <v>14</v>
      </c>
      <c r="B21" s="11" t="s">
        <v>40</v>
      </c>
      <c r="C21" s="11" t="s">
        <v>41</v>
      </c>
      <c r="D21">
        <v>331</v>
      </c>
      <c r="E21">
        <v>74.92</v>
      </c>
      <c r="F21">
        <v>24798.52</v>
      </c>
    </row>
    <row r="22" spans="1:6" x14ac:dyDescent="0.25">
      <c r="A22" s="11" t="s">
        <v>14</v>
      </c>
      <c r="B22" s="11" t="s">
        <v>42</v>
      </c>
      <c r="C22" s="11" t="s">
        <v>43</v>
      </c>
      <c r="D22">
        <v>534.5</v>
      </c>
      <c r="E22">
        <v>74.92</v>
      </c>
      <c r="F22">
        <v>40044.74</v>
      </c>
    </row>
    <row r="23" spans="1:6" x14ac:dyDescent="0.25">
      <c r="A23" s="11" t="s">
        <v>44</v>
      </c>
      <c r="B23">
        <v>12348</v>
      </c>
      <c r="C23">
        <v>72.907093861354099</v>
      </c>
      <c r="D23">
        <v>900256.79500000004</v>
      </c>
    </row>
    <row r="24" spans="1:6" x14ac:dyDescent="0.25">
      <c r="A24" s="11" t="s">
        <v>45</v>
      </c>
    </row>
    <row r="25" spans="1:6" x14ac:dyDescent="0.25">
      <c r="A25" s="11" t="s">
        <v>14</v>
      </c>
      <c r="B25" s="11" t="s">
        <v>46</v>
      </c>
      <c r="C25" s="11" t="s">
        <v>47</v>
      </c>
      <c r="D25">
        <v>519.5</v>
      </c>
      <c r="E25">
        <v>75.069999999999993</v>
      </c>
      <c r="F25">
        <v>38998.864999999998</v>
      </c>
    </row>
    <row r="26" spans="1:6" x14ac:dyDescent="0.25">
      <c r="A26" s="11" t="s">
        <v>14</v>
      </c>
      <c r="B26" s="11" t="s">
        <v>48</v>
      </c>
      <c r="C26" s="11" t="s">
        <v>49</v>
      </c>
      <c r="D26">
        <v>597</v>
      </c>
      <c r="E26">
        <v>78.27</v>
      </c>
      <c r="F26">
        <v>46727.19</v>
      </c>
    </row>
    <row r="27" spans="1:6" x14ac:dyDescent="0.25">
      <c r="A27" s="11" t="s">
        <v>50</v>
      </c>
      <c r="B27">
        <v>1116.5</v>
      </c>
      <c r="C27">
        <v>76.781061352440702</v>
      </c>
      <c r="D27">
        <v>85726.054999999993</v>
      </c>
    </row>
    <row r="28" spans="1:6" x14ac:dyDescent="0.25">
      <c r="A28" s="11" t="s">
        <v>51</v>
      </c>
    </row>
    <row r="29" spans="1:6" x14ac:dyDescent="0.25">
      <c r="A29" s="11" t="s">
        <v>14</v>
      </c>
      <c r="B29" s="11" t="s">
        <v>52</v>
      </c>
      <c r="C29" s="11" t="s">
        <v>53</v>
      </c>
      <c r="D29">
        <v>846</v>
      </c>
      <c r="E29">
        <v>12.37</v>
      </c>
      <c r="F29">
        <v>10465.02</v>
      </c>
    </row>
    <row r="30" spans="1:6" x14ac:dyDescent="0.25">
      <c r="A30" s="11" t="s">
        <v>54</v>
      </c>
      <c r="B30">
        <v>846</v>
      </c>
      <c r="C30">
        <v>12.37</v>
      </c>
      <c r="D30">
        <v>10465.02</v>
      </c>
    </row>
    <row r="31" spans="1:6" x14ac:dyDescent="0.25">
      <c r="A31" s="11" t="s">
        <v>55</v>
      </c>
    </row>
    <row r="32" spans="1:6" x14ac:dyDescent="0.25">
      <c r="A32" s="11" t="s">
        <v>14</v>
      </c>
      <c r="B32" s="11" t="s">
        <v>56</v>
      </c>
      <c r="C32" s="11" t="s">
        <v>57</v>
      </c>
      <c r="D32">
        <v>1825</v>
      </c>
      <c r="E32">
        <v>68.25</v>
      </c>
      <c r="F32">
        <v>124556.25</v>
      </c>
    </row>
    <row r="33" spans="1:6" x14ac:dyDescent="0.25">
      <c r="A33" s="11" t="s">
        <v>14</v>
      </c>
      <c r="B33" s="11" t="s">
        <v>58</v>
      </c>
      <c r="C33" s="11" t="s">
        <v>59</v>
      </c>
      <c r="D33">
        <v>540</v>
      </c>
      <c r="E33">
        <v>68.25</v>
      </c>
      <c r="F33">
        <v>36855</v>
      </c>
    </row>
    <row r="34" spans="1:6" x14ac:dyDescent="0.25">
      <c r="A34" s="11" t="s">
        <v>14</v>
      </c>
      <c r="B34" s="11" t="s">
        <v>60</v>
      </c>
      <c r="C34" s="11" t="s">
        <v>61</v>
      </c>
      <c r="D34">
        <v>2447</v>
      </c>
      <c r="E34">
        <v>75.430000000000007</v>
      </c>
      <c r="F34">
        <v>184577.21</v>
      </c>
    </row>
    <row r="35" spans="1:6" x14ac:dyDescent="0.25">
      <c r="A35" s="11" t="s">
        <v>14</v>
      </c>
      <c r="B35" s="11" t="s">
        <v>62</v>
      </c>
      <c r="C35" s="11" t="s">
        <v>63</v>
      </c>
      <c r="D35">
        <v>1475</v>
      </c>
      <c r="E35">
        <v>78.86</v>
      </c>
      <c r="F35">
        <v>116318.5</v>
      </c>
    </row>
    <row r="36" spans="1:6" x14ac:dyDescent="0.25">
      <c r="A36" s="11" t="s">
        <v>14</v>
      </c>
      <c r="B36" s="11" t="s">
        <v>64</v>
      </c>
      <c r="C36" s="11" t="s">
        <v>65</v>
      </c>
      <c r="D36">
        <v>2993</v>
      </c>
      <c r="E36">
        <v>78.86</v>
      </c>
      <c r="F36">
        <v>236027.98</v>
      </c>
    </row>
    <row r="37" spans="1:6" x14ac:dyDescent="0.25">
      <c r="A37" s="11" t="s">
        <v>14</v>
      </c>
      <c r="B37" s="11" t="s">
        <v>66</v>
      </c>
      <c r="C37" s="11" t="s">
        <v>67</v>
      </c>
      <c r="D37">
        <v>2194</v>
      </c>
      <c r="E37">
        <v>78.86</v>
      </c>
      <c r="F37">
        <v>173018.84</v>
      </c>
    </row>
    <row r="38" spans="1:6" x14ac:dyDescent="0.25">
      <c r="A38" s="11" t="s">
        <v>14</v>
      </c>
      <c r="B38" s="11" t="s">
        <v>68</v>
      </c>
      <c r="C38" s="11" t="s">
        <v>33</v>
      </c>
      <c r="D38">
        <v>534</v>
      </c>
      <c r="E38">
        <v>78.86</v>
      </c>
      <c r="F38">
        <v>42111.24</v>
      </c>
    </row>
    <row r="39" spans="1:6" x14ac:dyDescent="0.25">
      <c r="A39" s="11" t="s">
        <v>14</v>
      </c>
      <c r="B39" s="11" t="s">
        <v>69</v>
      </c>
      <c r="C39" s="11" t="s">
        <v>70</v>
      </c>
      <c r="D39">
        <v>1353</v>
      </c>
      <c r="E39">
        <v>78.86</v>
      </c>
      <c r="F39">
        <v>106697.58</v>
      </c>
    </row>
    <row r="40" spans="1:6" x14ac:dyDescent="0.25">
      <c r="A40" s="11" t="s">
        <v>14</v>
      </c>
      <c r="B40" s="11" t="s">
        <v>71</v>
      </c>
      <c r="C40" s="11" t="s">
        <v>72</v>
      </c>
      <c r="D40">
        <v>451.5</v>
      </c>
      <c r="E40">
        <v>78.86</v>
      </c>
      <c r="F40">
        <v>35605.29</v>
      </c>
    </row>
    <row r="41" spans="1:6" x14ac:dyDescent="0.25">
      <c r="A41" s="11" t="s">
        <v>14</v>
      </c>
      <c r="B41" s="11" t="s">
        <v>73</v>
      </c>
      <c r="C41" s="11" t="s">
        <v>74</v>
      </c>
      <c r="D41">
        <v>3396.5</v>
      </c>
      <c r="E41">
        <v>78.86</v>
      </c>
      <c r="F41">
        <v>267847.99</v>
      </c>
    </row>
    <row r="42" spans="1:6" x14ac:dyDescent="0.25">
      <c r="A42" s="11" t="s">
        <v>14</v>
      </c>
      <c r="B42" s="11" t="s">
        <v>75</v>
      </c>
      <c r="C42" s="11" t="s">
        <v>76</v>
      </c>
      <c r="D42">
        <v>549</v>
      </c>
      <c r="E42">
        <v>78.86</v>
      </c>
      <c r="F42">
        <v>43294.14</v>
      </c>
    </row>
    <row r="43" spans="1:6" x14ac:dyDescent="0.25">
      <c r="A43" s="11" t="s">
        <v>14</v>
      </c>
      <c r="B43" s="11" t="s">
        <v>77</v>
      </c>
      <c r="C43" s="11" t="s">
        <v>78</v>
      </c>
      <c r="D43">
        <v>2039</v>
      </c>
      <c r="E43">
        <v>78.86</v>
      </c>
      <c r="F43">
        <v>160795.54</v>
      </c>
    </row>
    <row r="44" spans="1:6" x14ac:dyDescent="0.25">
      <c r="A44" s="11" t="s">
        <v>14</v>
      </c>
      <c r="B44" s="11" t="s">
        <v>79</v>
      </c>
      <c r="C44" s="11" t="s">
        <v>80</v>
      </c>
      <c r="D44">
        <v>-18</v>
      </c>
      <c r="E44">
        <v>68.25</v>
      </c>
      <c r="F44">
        <v>-1228.5</v>
      </c>
    </row>
    <row r="45" spans="1:6" x14ac:dyDescent="0.25">
      <c r="A45" s="11" t="s">
        <v>14</v>
      </c>
      <c r="B45" s="11" t="s">
        <v>81</v>
      </c>
      <c r="C45" s="11" t="s">
        <v>82</v>
      </c>
      <c r="D45">
        <v>-19.5</v>
      </c>
      <c r="E45">
        <v>68.25</v>
      </c>
      <c r="F45">
        <v>-1330.875</v>
      </c>
    </row>
    <row r="46" spans="1:6" x14ac:dyDescent="0.25">
      <c r="A46" s="11" t="s">
        <v>14</v>
      </c>
      <c r="B46" s="11" t="s">
        <v>83</v>
      </c>
      <c r="C46" s="11" t="s">
        <v>84</v>
      </c>
      <c r="D46">
        <v>-39</v>
      </c>
      <c r="E46">
        <v>68.25</v>
      </c>
      <c r="F46">
        <v>-2661.75</v>
      </c>
    </row>
    <row r="47" spans="1:6" x14ac:dyDescent="0.25">
      <c r="A47" s="11" t="s">
        <v>14</v>
      </c>
      <c r="B47" s="11" t="s">
        <v>85</v>
      </c>
      <c r="C47" s="11" t="s">
        <v>86</v>
      </c>
      <c r="D47">
        <v>-137.5</v>
      </c>
      <c r="E47">
        <v>78.86</v>
      </c>
      <c r="F47">
        <v>-10843.25</v>
      </c>
    </row>
    <row r="48" spans="1:6" x14ac:dyDescent="0.25">
      <c r="A48" s="11" t="s">
        <v>87</v>
      </c>
      <c r="B48">
        <v>19583</v>
      </c>
      <c r="C48">
        <v>77.146066413472596</v>
      </c>
      <c r="D48">
        <v>1511641.1850000001</v>
      </c>
    </row>
    <row r="49" spans="1:6" x14ac:dyDescent="0.25">
      <c r="A49" s="11" t="s">
        <v>88</v>
      </c>
    </row>
    <row r="50" spans="1:6" x14ac:dyDescent="0.25">
      <c r="A50" s="11" t="s">
        <v>14</v>
      </c>
      <c r="B50" s="11" t="s">
        <v>89</v>
      </c>
      <c r="C50" s="11" t="s">
        <v>90</v>
      </c>
      <c r="D50">
        <v>5003</v>
      </c>
      <c r="E50">
        <v>64.680000000000007</v>
      </c>
      <c r="F50">
        <v>323594.03999999998</v>
      </c>
    </row>
    <row r="51" spans="1:6" x14ac:dyDescent="0.25">
      <c r="A51" s="11" t="s">
        <v>14</v>
      </c>
      <c r="B51" s="11" t="s">
        <v>91</v>
      </c>
      <c r="C51" s="11" t="s">
        <v>92</v>
      </c>
      <c r="D51">
        <v>9203</v>
      </c>
      <c r="E51">
        <v>64.680000000000007</v>
      </c>
      <c r="F51">
        <v>595250.04</v>
      </c>
    </row>
    <row r="52" spans="1:6" x14ac:dyDescent="0.25">
      <c r="A52" s="11" t="s">
        <v>14</v>
      </c>
      <c r="B52" s="11" t="s">
        <v>93</v>
      </c>
      <c r="C52" s="11" t="s">
        <v>94</v>
      </c>
      <c r="D52">
        <v>1795</v>
      </c>
      <c r="E52">
        <v>64.680000000000007</v>
      </c>
      <c r="F52">
        <v>116100.6</v>
      </c>
    </row>
    <row r="53" spans="1:6" x14ac:dyDescent="0.25">
      <c r="A53" s="11" t="s">
        <v>14</v>
      </c>
      <c r="B53" s="11" t="s">
        <v>95</v>
      </c>
      <c r="C53" s="11" t="s">
        <v>65</v>
      </c>
      <c r="D53">
        <v>1377</v>
      </c>
      <c r="E53">
        <v>75.31</v>
      </c>
      <c r="F53">
        <v>103701.87</v>
      </c>
    </row>
    <row r="54" spans="1:6" x14ac:dyDescent="0.25">
      <c r="A54" s="11" t="s">
        <v>14</v>
      </c>
      <c r="B54" s="11" t="s">
        <v>96</v>
      </c>
      <c r="C54" s="11" t="s">
        <v>97</v>
      </c>
      <c r="D54">
        <v>4024</v>
      </c>
      <c r="E54">
        <v>75.31</v>
      </c>
      <c r="F54">
        <v>303047.44</v>
      </c>
    </row>
    <row r="55" spans="1:6" x14ac:dyDescent="0.25">
      <c r="A55" s="11" t="s">
        <v>14</v>
      </c>
      <c r="B55" s="11" t="s">
        <v>98</v>
      </c>
      <c r="C55" s="11" t="s">
        <v>99</v>
      </c>
      <c r="D55">
        <v>3705.5</v>
      </c>
      <c r="E55">
        <v>75.31</v>
      </c>
      <c r="F55">
        <v>279061.20500000002</v>
      </c>
    </row>
    <row r="56" spans="1:6" x14ac:dyDescent="0.25">
      <c r="A56" s="11" t="s">
        <v>14</v>
      </c>
      <c r="B56" s="11" t="s">
        <v>100</v>
      </c>
      <c r="C56" s="11" t="s">
        <v>101</v>
      </c>
      <c r="D56">
        <v>2984</v>
      </c>
      <c r="E56">
        <v>75.31</v>
      </c>
      <c r="F56">
        <v>224725.04</v>
      </c>
    </row>
    <row r="57" spans="1:6" x14ac:dyDescent="0.25">
      <c r="A57" s="11" t="s">
        <v>14</v>
      </c>
      <c r="B57" s="11" t="s">
        <v>102</v>
      </c>
      <c r="C57" s="11" t="s">
        <v>103</v>
      </c>
      <c r="D57">
        <v>1810</v>
      </c>
      <c r="E57">
        <v>75.31</v>
      </c>
      <c r="F57">
        <v>136311.1</v>
      </c>
    </row>
    <row r="58" spans="1:6" x14ac:dyDescent="0.25">
      <c r="A58" s="11" t="s">
        <v>14</v>
      </c>
      <c r="B58" s="11" t="s">
        <v>104</v>
      </c>
      <c r="C58" s="11" t="s">
        <v>105</v>
      </c>
      <c r="D58">
        <v>2428</v>
      </c>
      <c r="E58">
        <v>75.31</v>
      </c>
      <c r="F58">
        <v>182852.68</v>
      </c>
    </row>
    <row r="59" spans="1:6" x14ac:dyDescent="0.25">
      <c r="A59" s="11" t="s">
        <v>14</v>
      </c>
      <c r="B59" s="11" t="s">
        <v>106</v>
      </c>
      <c r="C59" s="11" t="s">
        <v>107</v>
      </c>
      <c r="D59">
        <v>3022</v>
      </c>
      <c r="E59">
        <v>75.31</v>
      </c>
      <c r="F59">
        <v>227586.82</v>
      </c>
    </row>
    <row r="60" spans="1:6" x14ac:dyDescent="0.25">
      <c r="A60" s="11" t="s">
        <v>14</v>
      </c>
      <c r="B60" s="11" t="s">
        <v>108</v>
      </c>
      <c r="C60" s="11" t="s">
        <v>37</v>
      </c>
      <c r="D60">
        <v>2223</v>
      </c>
      <c r="E60">
        <v>75.31</v>
      </c>
      <c r="F60">
        <v>167414.13</v>
      </c>
    </row>
    <row r="61" spans="1:6" x14ac:dyDescent="0.25">
      <c r="A61" s="11" t="s">
        <v>14</v>
      </c>
      <c r="B61" s="11" t="s">
        <v>109</v>
      </c>
      <c r="C61" s="11" t="s">
        <v>74</v>
      </c>
      <c r="D61">
        <v>2146</v>
      </c>
      <c r="E61">
        <v>75.31</v>
      </c>
      <c r="F61">
        <v>161615.26</v>
      </c>
    </row>
    <row r="62" spans="1:6" x14ac:dyDescent="0.25">
      <c r="A62" s="11" t="s">
        <v>14</v>
      </c>
      <c r="B62" s="11" t="s">
        <v>110</v>
      </c>
      <c r="C62" s="11" t="s">
        <v>111</v>
      </c>
      <c r="D62">
        <v>150.5</v>
      </c>
      <c r="E62">
        <v>75.31</v>
      </c>
      <c r="F62">
        <v>11334.155000000001</v>
      </c>
    </row>
    <row r="63" spans="1:6" x14ac:dyDescent="0.25">
      <c r="A63" s="11" t="s">
        <v>14</v>
      </c>
      <c r="B63" s="11" t="s">
        <v>112</v>
      </c>
      <c r="C63" s="11" t="s">
        <v>113</v>
      </c>
      <c r="D63">
        <v>4166</v>
      </c>
      <c r="E63">
        <v>75.31</v>
      </c>
      <c r="F63">
        <v>313741.46000000002</v>
      </c>
    </row>
    <row r="64" spans="1:6" x14ac:dyDescent="0.25">
      <c r="A64" s="11" t="s">
        <v>14</v>
      </c>
      <c r="B64" s="11" t="s">
        <v>114</v>
      </c>
      <c r="C64" s="11" t="s">
        <v>53</v>
      </c>
      <c r="D64">
        <v>2086</v>
      </c>
      <c r="E64">
        <v>75.31</v>
      </c>
      <c r="F64">
        <v>157096.66</v>
      </c>
    </row>
    <row r="65" spans="1:6" x14ac:dyDescent="0.25">
      <c r="A65" s="11" t="s">
        <v>14</v>
      </c>
      <c r="B65" s="11" t="s">
        <v>115</v>
      </c>
      <c r="C65" s="11" t="s">
        <v>116</v>
      </c>
      <c r="D65">
        <v>-21</v>
      </c>
      <c r="E65">
        <v>68.25</v>
      </c>
      <c r="F65">
        <v>-1433.25</v>
      </c>
    </row>
    <row r="66" spans="1:6" x14ac:dyDescent="0.25">
      <c r="A66" s="11" t="s">
        <v>14</v>
      </c>
      <c r="B66" s="11" t="s">
        <v>117</v>
      </c>
      <c r="C66" s="11" t="s">
        <v>116</v>
      </c>
      <c r="D66">
        <v>-11.5</v>
      </c>
      <c r="E66">
        <v>59.31</v>
      </c>
      <c r="F66">
        <v>-682.06500000000005</v>
      </c>
    </row>
    <row r="67" spans="1:6" x14ac:dyDescent="0.25">
      <c r="A67" s="11" t="s">
        <v>14</v>
      </c>
      <c r="B67" s="11" t="s">
        <v>118</v>
      </c>
      <c r="C67" s="11" t="s">
        <v>116</v>
      </c>
      <c r="D67">
        <v>-28</v>
      </c>
      <c r="E67">
        <v>59.31</v>
      </c>
      <c r="F67">
        <v>-1660.68</v>
      </c>
    </row>
    <row r="68" spans="1:6" x14ac:dyDescent="0.25">
      <c r="A68" s="11" t="s">
        <v>14</v>
      </c>
      <c r="B68" s="11" t="s">
        <v>119</v>
      </c>
      <c r="C68" s="11" t="s">
        <v>116</v>
      </c>
      <c r="D68">
        <v>-159.4</v>
      </c>
      <c r="E68">
        <v>59.13</v>
      </c>
      <c r="F68">
        <v>-9425.3220000000001</v>
      </c>
    </row>
    <row r="69" spans="1:6" x14ac:dyDescent="0.25">
      <c r="A69" s="11" t="s">
        <v>14</v>
      </c>
      <c r="B69" s="11" t="s">
        <v>120</v>
      </c>
      <c r="C69" s="11" t="s">
        <v>116</v>
      </c>
      <c r="D69">
        <v>-59.5</v>
      </c>
      <c r="E69">
        <v>59.31</v>
      </c>
      <c r="F69">
        <v>-3528.9450000000002</v>
      </c>
    </row>
    <row r="70" spans="1:6" x14ac:dyDescent="0.25">
      <c r="A70" s="11" t="s">
        <v>14</v>
      </c>
      <c r="B70" s="11" t="s">
        <v>121</v>
      </c>
      <c r="C70" s="11" t="s">
        <v>80</v>
      </c>
      <c r="D70">
        <v>-270</v>
      </c>
      <c r="E70">
        <v>64.680000000000007</v>
      </c>
      <c r="F70">
        <v>-17463.599999999999</v>
      </c>
    </row>
    <row r="71" spans="1:6" x14ac:dyDescent="0.25">
      <c r="A71" s="11" t="s">
        <v>14</v>
      </c>
      <c r="B71" s="11" t="s">
        <v>122</v>
      </c>
      <c r="C71" s="11" t="s">
        <v>80</v>
      </c>
      <c r="D71">
        <v>-245</v>
      </c>
      <c r="E71">
        <v>64.680000000000007</v>
      </c>
      <c r="F71">
        <v>-15846.6</v>
      </c>
    </row>
    <row r="72" spans="1:6" x14ac:dyDescent="0.25">
      <c r="A72" s="11" t="s">
        <v>14</v>
      </c>
      <c r="B72" s="11" t="s">
        <v>123</v>
      </c>
      <c r="C72" s="11" t="s">
        <v>47</v>
      </c>
      <c r="D72">
        <v>-155</v>
      </c>
      <c r="E72">
        <v>64.680000000000007</v>
      </c>
      <c r="F72">
        <v>-10025.4</v>
      </c>
    </row>
    <row r="73" spans="1:6" x14ac:dyDescent="0.25">
      <c r="A73" s="11" t="s">
        <v>14</v>
      </c>
      <c r="B73" s="11" t="s">
        <v>124</v>
      </c>
      <c r="C73" s="11" t="s">
        <v>86</v>
      </c>
      <c r="D73">
        <v>-14</v>
      </c>
      <c r="E73">
        <v>75.31</v>
      </c>
      <c r="F73">
        <v>-1054.3399999999999</v>
      </c>
    </row>
    <row r="74" spans="1:6" x14ac:dyDescent="0.25">
      <c r="A74" s="11" t="s">
        <v>14</v>
      </c>
      <c r="B74" s="11" t="s">
        <v>125</v>
      </c>
      <c r="C74" s="11" t="s">
        <v>126</v>
      </c>
      <c r="D74">
        <v>-195.5</v>
      </c>
      <c r="E74">
        <v>75.31</v>
      </c>
      <c r="F74">
        <v>-14723.105</v>
      </c>
    </row>
    <row r="75" spans="1:6" x14ac:dyDescent="0.25">
      <c r="A75" s="11" t="s">
        <v>127</v>
      </c>
      <c r="B75">
        <v>44964.1</v>
      </c>
      <c r="C75">
        <v>71.470812446200298</v>
      </c>
      <c r="D75">
        <v>3227589.193</v>
      </c>
    </row>
    <row r="76" spans="1:6" x14ac:dyDescent="0.25">
      <c r="A76" s="11" t="s">
        <v>128</v>
      </c>
    </row>
    <row r="77" spans="1:6" x14ac:dyDescent="0.25">
      <c r="A77" s="11" t="s">
        <v>14</v>
      </c>
      <c r="B77" s="11" t="s">
        <v>129</v>
      </c>
      <c r="C77" s="11" t="s">
        <v>130</v>
      </c>
      <c r="D77">
        <v>453</v>
      </c>
      <c r="E77">
        <v>76.930000000000007</v>
      </c>
      <c r="F77">
        <v>34849.29</v>
      </c>
    </row>
    <row r="78" spans="1:6" x14ac:dyDescent="0.25">
      <c r="A78" s="11" t="s">
        <v>14</v>
      </c>
      <c r="B78" s="11" t="s">
        <v>131</v>
      </c>
      <c r="C78" s="11" t="s">
        <v>132</v>
      </c>
      <c r="D78">
        <v>741</v>
      </c>
      <c r="E78">
        <v>76.930000000000007</v>
      </c>
      <c r="F78">
        <v>57005.13</v>
      </c>
    </row>
    <row r="79" spans="1:6" x14ac:dyDescent="0.25">
      <c r="A79" s="11" t="s">
        <v>14</v>
      </c>
      <c r="B79" s="11" t="s">
        <v>133</v>
      </c>
      <c r="C79" s="11" t="s">
        <v>134</v>
      </c>
      <c r="D79">
        <v>102</v>
      </c>
      <c r="E79">
        <v>76.930000000000007</v>
      </c>
      <c r="F79">
        <v>7846.86</v>
      </c>
    </row>
    <row r="80" spans="1:6" x14ac:dyDescent="0.25">
      <c r="A80" s="11" t="s">
        <v>14</v>
      </c>
      <c r="B80" s="11" t="s">
        <v>135</v>
      </c>
      <c r="C80" s="11" t="s">
        <v>136</v>
      </c>
      <c r="D80">
        <v>595</v>
      </c>
      <c r="E80">
        <v>83.87</v>
      </c>
      <c r="F80">
        <v>49902.65</v>
      </c>
    </row>
    <row r="81" spans="1:6" x14ac:dyDescent="0.25">
      <c r="A81" s="11" t="s">
        <v>14</v>
      </c>
      <c r="B81" s="11" t="s">
        <v>137</v>
      </c>
      <c r="C81" s="11" t="s">
        <v>92</v>
      </c>
      <c r="D81">
        <v>1840.5</v>
      </c>
      <c r="E81">
        <v>83.87</v>
      </c>
      <c r="F81">
        <v>154362.73499999999</v>
      </c>
    </row>
    <row r="82" spans="1:6" x14ac:dyDescent="0.25">
      <c r="A82" s="11" t="s">
        <v>14</v>
      </c>
      <c r="B82" s="11" t="s">
        <v>138</v>
      </c>
      <c r="C82" s="11" t="s">
        <v>139</v>
      </c>
      <c r="D82">
        <v>413</v>
      </c>
      <c r="E82">
        <v>87.21</v>
      </c>
      <c r="F82">
        <v>36017.730000000003</v>
      </c>
    </row>
    <row r="83" spans="1:6" x14ac:dyDescent="0.25">
      <c r="A83" s="11" t="s">
        <v>14</v>
      </c>
      <c r="B83" s="11" t="s">
        <v>140</v>
      </c>
      <c r="C83" s="11" t="s">
        <v>141</v>
      </c>
      <c r="D83">
        <v>346.5</v>
      </c>
      <c r="E83">
        <v>87.21</v>
      </c>
      <c r="F83">
        <v>30218.264999999999</v>
      </c>
    </row>
    <row r="84" spans="1:6" x14ac:dyDescent="0.25">
      <c r="A84" s="11" t="s">
        <v>14</v>
      </c>
      <c r="B84" s="11" t="s">
        <v>140</v>
      </c>
      <c r="C84" s="11" t="s">
        <v>141</v>
      </c>
      <c r="D84">
        <v>869.5</v>
      </c>
      <c r="E84">
        <v>87.21</v>
      </c>
      <c r="F84">
        <v>75829.095000000001</v>
      </c>
    </row>
    <row r="85" spans="1:6" x14ac:dyDescent="0.25">
      <c r="A85" s="11" t="s">
        <v>14</v>
      </c>
      <c r="B85" s="11" t="s">
        <v>142</v>
      </c>
      <c r="C85" s="11" t="s">
        <v>143</v>
      </c>
      <c r="D85">
        <v>1721</v>
      </c>
      <c r="E85">
        <v>75.31</v>
      </c>
      <c r="F85">
        <v>129608.51</v>
      </c>
    </row>
    <row r="86" spans="1:6" x14ac:dyDescent="0.25">
      <c r="A86" s="11" t="s">
        <v>14</v>
      </c>
      <c r="B86" s="11" t="s">
        <v>144</v>
      </c>
      <c r="C86" s="11" t="s">
        <v>145</v>
      </c>
      <c r="D86">
        <v>414</v>
      </c>
      <c r="E86">
        <v>87.21</v>
      </c>
      <c r="F86">
        <v>36104.94</v>
      </c>
    </row>
    <row r="87" spans="1:6" x14ac:dyDescent="0.25">
      <c r="A87" s="11" t="s">
        <v>14</v>
      </c>
      <c r="B87" s="11" t="s">
        <v>146</v>
      </c>
      <c r="C87" s="11" t="s">
        <v>147</v>
      </c>
      <c r="D87">
        <v>228</v>
      </c>
      <c r="E87">
        <v>87.21</v>
      </c>
      <c r="F87">
        <v>19883.88</v>
      </c>
    </row>
    <row r="88" spans="1:6" x14ac:dyDescent="0.25">
      <c r="A88" s="11" t="s">
        <v>14</v>
      </c>
      <c r="B88" s="11" t="s">
        <v>148</v>
      </c>
      <c r="C88" s="11" t="s">
        <v>70</v>
      </c>
      <c r="D88">
        <v>873</v>
      </c>
      <c r="E88">
        <v>87.21</v>
      </c>
      <c r="F88">
        <v>76134.33</v>
      </c>
    </row>
    <row r="89" spans="1:6" x14ac:dyDescent="0.25">
      <c r="A89" s="11" t="s">
        <v>14</v>
      </c>
      <c r="B89" s="11" t="s">
        <v>149</v>
      </c>
      <c r="C89" s="11" t="s">
        <v>150</v>
      </c>
      <c r="D89">
        <v>240</v>
      </c>
      <c r="E89">
        <v>87.21</v>
      </c>
      <c r="F89">
        <v>20930.400000000001</v>
      </c>
    </row>
    <row r="90" spans="1:6" x14ac:dyDescent="0.25">
      <c r="A90" s="11" t="s">
        <v>14</v>
      </c>
      <c r="B90" s="11" t="s">
        <v>151</v>
      </c>
      <c r="C90" s="11" t="s">
        <v>152</v>
      </c>
      <c r="D90">
        <v>510</v>
      </c>
      <c r="E90">
        <v>87.21</v>
      </c>
      <c r="F90">
        <v>44477.1</v>
      </c>
    </row>
    <row r="91" spans="1:6" x14ac:dyDescent="0.25">
      <c r="A91" s="11" t="s">
        <v>14</v>
      </c>
      <c r="B91" s="11" t="s">
        <v>153</v>
      </c>
      <c r="C91" s="11" t="s">
        <v>154</v>
      </c>
      <c r="D91">
        <v>1061</v>
      </c>
      <c r="E91">
        <v>87.21</v>
      </c>
      <c r="F91">
        <v>92529.81</v>
      </c>
    </row>
    <row r="92" spans="1:6" x14ac:dyDescent="0.25">
      <c r="A92" s="11" t="s">
        <v>14</v>
      </c>
      <c r="B92" s="11" t="s">
        <v>155</v>
      </c>
      <c r="C92" s="11" t="s">
        <v>156</v>
      </c>
      <c r="D92">
        <v>953.5</v>
      </c>
      <c r="E92">
        <v>87.21</v>
      </c>
      <c r="F92">
        <v>83154.735000000001</v>
      </c>
    </row>
    <row r="93" spans="1:6" x14ac:dyDescent="0.25">
      <c r="A93" s="11" t="s">
        <v>14</v>
      </c>
      <c r="B93" s="11" t="s">
        <v>157</v>
      </c>
      <c r="C93" s="11" t="s">
        <v>156</v>
      </c>
      <c r="D93">
        <v>740.5</v>
      </c>
      <c r="E93">
        <v>87.21</v>
      </c>
      <c r="F93">
        <v>64579.004999999997</v>
      </c>
    </row>
    <row r="94" spans="1:6" x14ac:dyDescent="0.25">
      <c r="A94" s="11" t="s">
        <v>14</v>
      </c>
      <c r="B94" s="11" t="s">
        <v>158</v>
      </c>
      <c r="C94" s="11" t="s">
        <v>76</v>
      </c>
      <c r="D94">
        <v>1844</v>
      </c>
      <c r="E94">
        <v>87.21</v>
      </c>
      <c r="F94">
        <v>160815.24</v>
      </c>
    </row>
    <row r="95" spans="1:6" x14ac:dyDescent="0.25">
      <c r="A95" s="11" t="s">
        <v>14</v>
      </c>
      <c r="B95" s="11" t="s">
        <v>159</v>
      </c>
      <c r="C95" s="11" t="s">
        <v>160</v>
      </c>
      <c r="D95">
        <v>1395</v>
      </c>
      <c r="E95">
        <v>87.21</v>
      </c>
      <c r="F95">
        <v>121657.95</v>
      </c>
    </row>
    <row r="96" spans="1:6" x14ac:dyDescent="0.25">
      <c r="A96" s="11" t="s">
        <v>161</v>
      </c>
      <c r="B96">
        <v>15340.5</v>
      </c>
      <c r="C96">
        <v>84.476233173625403</v>
      </c>
      <c r="D96">
        <v>1295907.655</v>
      </c>
    </row>
    <row r="97" spans="1:6" x14ac:dyDescent="0.25">
      <c r="A97" s="11" t="s">
        <v>162</v>
      </c>
    </row>
    <row r="98" spans="1:6" x14ac:dyDescent="0.25">
      <c r="A98" s="11" t="s">
        <v>14</v>
      </c>
      <c r="B98" s="11" t="s">
        <v>26</v>
      </c>
      <c r="C98" s="11" t="s">
        <v>27</v>
      </c>
      <c r="D98">
        <v>1950</v>
      </c>
      <c r="E98">
        <v>75</v>
      </c>
      <c r="F98">
        <v>146250</v>
      </c>
    </row>
    <row r="99" spans="1:6" x14ac:dyDescent="0.25">
      <c r="A99" s="11" t="s">
        <v>14</v>
      </c>
      <c r="B99" s="11" t="s">
        <v>163</v>
      </c>
      <c r="C99" s="11" t="s">
        <v>23</v>
      </c>
      <c r="D99">
        <v>68</v>
      </c>
      <c r="E99">
        <v>75</v>
      </c>
      <c r="F99">
        <v>5100</v>
      </c>
    </row>
    <row r="100" spans="1:6" x14ac:dyDescent="0.25">
      <c r="A100" s="11" t="s">
        <v>14</v>
      </c>
      <c r="B100" s="11" t="s">
        <v>164</v>
      </c>
      <c r="C100" s="11" t="s">
        <v>47</v>
      </c>
      <c r="D100">
        <v>-5.5</v>
      </c>
      <c r="E100">
        <v>75</v>
      </c>
      <c r="F100">
        <v>-412.5</v>
      </c>
    </row>
    <row r="101" spans="1:6" x14ac:dyDescent="0.25">
      <c r="A101" s="11" t="s">
        <v>14</v>
      </c>
      <c r="B101" s="11" t="s">
        <v>165</v>
      </c>
      <c r="C101" s="11" t="s">
        <v>166</v>
      </c>
      <c r="D101">
        <v>-1498</v>
      </c>
      <c r="E101">
        <v>75</v>
      </c>
      <c r="F101">
        <v>-112350</v>
      </c>
    </row>
    <row r="102" spans="1:6" x14ac:dyDescent="0.25">
      <c r="A102" s="11" t="s">
        <v>167</v>
      </c>
      <c r="B102">
        <v>514.5</v>
      </c>
      <c r="C102">
        <v>75</v>
      </c>
      <c r="D102">
        <v>38587.5</v>
      </c>
    </row>
    <row r="103" spans="1:6" x14ac:dyDescent="0.25">
      <c r="A103" s="11" t="s">
        <v>168</v>
      </c>
    </row>
    <row r="104" spans="1:6" x14ac:dyDescent="0.25">
      <c r="A104" s="11" t="s">
        <v>14</v>
      </c>
      <c r="B104" s="11" t="s">
        <v>164</v>
      </c>
      <c r="C104" s="11" t="s">
        <v>47</v>
      </c>
      <c r="D104">
        <v>-19</v>
      </c>
      <c r="E104">
        <v>71.33</v>
      </c>
      <c r="F104">
        <v>-1355.27</v>
      </c>
    </row>
    <row r="105" spans="1:6" x14ac:dyDescent="0.25">
      <c r="A105" s="11" t="s">
        <v>169</v>
      </c>
      <c r="B105">
        <v>-19</v>
      </c>
      <c r="C105">
        <v>71.33</v>
      </c>
      <c r="D105">
        <v>-1355.27</v>
      </c>
    </row>
    <row r="106" spans="1:6" x14ac:dyDescent="0.25">
      <c r="A106" s="11" t="s">
        <v>170</v>
      </c>
    </row>
    <row r="107" spans="1:6" x14ac:dyDescent="0.25">
      <c r="A107" s="11" t="s">
        <v>14</v>
      </c>
      <c r="B107" s="11" t="s">
        <v>26</v>
      </c>
      <c r="C107" s="11" t="s">
        <v>27</v>
      </c>
      <c r="D107">
        <v>2435</v>
      </c>
      <c r="E107">
        <v>75</v>
      </c>
      <c r="F107">
        <v>182625</v>
      </c>
    </row>
    <row r="108" spans="1:6" x14ac:dyDescent="0.25">
      <c r="A108" s="11" t="s">
        <v>14</v>
      </c>
      <c r="B108" s="11" t="s">
        <v>164</v>
      </c>
      <c r="C108" s="11" t="s">
        <v>47</v>
      </c>
      <c r="D108">
        <v>-36.5</v>
      </c>
      <c r="E108">
        <v>75</v>
      </c>
      <c r="F108">
        <v>-2737.5</v>
      </c>
    </row>
    <row r="109" spans="1:6" x14ac:dyDescent="0.25">
      <c r="A109" s="11" t="s">
        <v>171</v>
      </c>
      <c r="B109">
        <v>2398.5</v>
      </c>
      <c r="C109">
        <v>75</v>
      </c>
      <c r="D109">
        <v>179887.5</v>
      </c>
    </row>
    <row r="110" spans="1:6" x14ac:dyDescent="0.25">
      <c r="A110" s="11" t="s">
        <v>172</v>
      </c>
    </row>
    <row r="111" spans="1:6" x14ac:dyDescent="0.25">
      <c r="A111" s="11" t="s">
        <v>14</v>
      </c>
      <c r="B111" s="11" t="s">
        <v>173</v>
      </c>
      <c r="C111" s="11" t="s">
        <v>174</v>
      </c>
      <c r="D111">
        <v>80</v>
      </c>
      <c r="E111">
        <v>62.86</v>
      </c>
      <c r="F111">
        <v>5028.8</v>
      </c>
    </row>
    <row r="112" spans="1:6" x14ac:dyDescent="0.25">
      <c r="A112" s="11" t="s">
        <v>14</v>
      </c>
      <c r="B112" s="11" t="s">
        <v>175</v>
      </c>
      <c r="C112" s="11" t="s">
        <v>176</v>
      </c>
      <c r="D112">
        <v>1682</v>
      </c>
      <c r="E112">
        <v>62.86</v>
      </c>
      <c r="F112">
        <v>105730.52</v>
      </c>
    </row>
    <row r="113" spans="1:6" x14ac:dyDescent="0.25">
      <c r="A113" s="11" t="s">
        <v>14</v>
      </c>
      <c r="B113" s="11" t="s">
        <v>177</v>
      </c>
      <c r="C113" s="11" t="s">
        <v>94</v>
      </c>
      <c r="D113">
        <v>1778</v>
      </c>
      <c r="E113">
        <v>62.86</v>
      </c>
      <c r="F113">
        <v>111765.08</v>
      </c>
    </row>
    <row r="114" spans="1:6" x14ac:dyDescent="0.25">
      <c r="A114" s="11" t="s">
        <v>14</v>
      </c>
      <c r="B114" s="11" t="s">
        <v>178</v>
      </c>
      <c r="C114" s="11" t="s">
        <v>47</v>
      </c>
      <c r="D114">
        <v>1247.5</v>
      </c>
      <c r="E114">
        <v>62.86</v>
      </c>
      <c r="F114">
        <v>78417.850000000006</v>
      </c>
    </row>
    <row r="115" spans="1:6" x14ac:dyDescent="0.25">
      <c r="A115" s="11" t="s">
        <v>14</v>
      </c>
      <c r="B115" s="11" t="s">
        <v>179</v>
      </c>
      <c r="C115" s="11" t="s">
        <v>31</v>
      </c>
      <c r="D115">
        <v>3685</v>
      </c>
      <c r="E115">
        <v>69.150000000000006</v>
      </c>
      <c r="F115">
        <v>254817.75</v>
      </c>
    </row>
    <row r="116" spans="1:6" x14ac:dyDescent="0.25">
      <c r="A116" s="11" t="s">
        <v>14</v>
      </c>
      <c r="B116" s="11" t="s">
        <v>180</v>
      </c>
      <c r="C116" s="11" t="s">
        <v>47</v>
      </c>
      <c r="D116">
        <v>216</v>
      </c>
      <c r="E116">
        <v>62.86</v>
      </c>
      <c r="F116">
        <v>13577.76</v>
      </c>
    </row>
    <row r="117" spans="1:6" x14ac:dyDescent="0.25">
      <c r="A117" s="11" t="s">
        <v>14</v>
      </c>
      <c r="B117" s="11" t="s">
        <v>181</v>
      </c>
      <c r="C117" s="11" t="s">
        <v>182</v>
      </c>
      <c r="D117">
        <v>3011.5</v>
      </c>
      <c r="E117">
        <v>68.739999999999995</v>
      </c>
      <c r="F117">
        <v>207010.51</v>
      </c>
    </row>
    <row r="118" spans="1:6" x14ac:dyDescent="0.25">
      <c r="A118" s="11" t="s">
        <v>14</v>
      </c>
      <c r="B118" s="11" t="s">
        <v>183</v>
      </c>
      <c r="C118" s="11" t="s">
        <v>150</v>
      </c>
      <c r="D118">
        <v>1961</v>
      </c>
      <c r="E118">
        <v>62.86</v>
      </c>
      <c r="F118">
        <v>123268.46</v>
      </c>
    </row>
    <row r="119" spans="1:6" x14ac:dyDescent="0.25">
      <c r="A119" s="11" t="s">
        <v>14</v>
      </c>
      <c r="B119" s="11" t="s">
        <v>184</v>
      </c>
      <c r="C119" s="11" t="s">
        <v>152</v>
      </c>
      <c r="D119">
        <v>1392</v>
      </c>
      <c r="E119">
        <v>68.739999999999995</v>
      </c>
      <c r="F119">
        <v>95686.080000000002</v>
      </c>
    </row>
    <row r="120" spans="1:6" x14ac:dyDescent="0.25">
      <c r="A120" s="11" t="s">
        <v>14</v>
      </c>
      <c r="B120" s="11" t="s">
        <v>185</v>
      </c>
      <c r="C120" s="11" t="s">
        <v>186</v>
      </c>
      <c r="D120">
        <v>1841</v>
      </c>
      <c r="E120">
        <v>68.739999999999995</v>
      </c>
      <c r="F120">
        <v>126550.34</v>
      </c>
    </row>
    <row r="121" spans="1:6" x14ac:dyDescent="0.25">
      <c r="A121" s="11" t="s">
        <v>14</v>
      </c>
      <c r="B121" s="11" t="s">
        <v>187</v>
      </c>
      <c r="C121" s="11" t="s">
        <v>188</v>
      </c>
      <c r="D121">
        <v>949</v>
      </c>
      <c r="E121">
        <v>68.739999999999995</v>
      </c>
      <c r="F121">
        <v>65234.26</v>
      </c>
    </row>
    <row r="122" spans="1:6" x14ac:dyDescent="0.25">
      <c r="A122" s="11" t="s">
        <v>14</v>
      </c>
      <c r="B122" s="11" t="s">
        <v>189</v>
      </c>
      <c r="C122" s="11" t="s">
        <v>190</v>
      </c>
      <c r="D122">
        <v>-3685</v>
      </c>
      <c r="E122">
        <v>6.29</v>
      </c>
      <c r="F122">
        <v>-23178.65</v>
      </c>
    </row>
    <row r="123" spans="1:6" x14ac:dyDescent="0.25">
      <c r="A123" s="11" t="s">
        <v>14</v>
      </c>
      <c r="B123" s="11" t="s">
        <v>191</v>
      </c>
      <c r="C123" s="11" t="s">
        <v>86</v>
      </c>
      <c r="D123">
        <v>-76.5</v>
      </c>
      <c r="E123">
        <v>62.86</v>
      </c>
      <c r="F123">
        <v>-4808.79</v>
      </c>
    </row>
    <row r="124" spans="1:6" x14ac:dyDescent="0.25">
      <c r="A124" s="11" t="s">
        <v>14</v>
      </c>
      <c r="B124" s="11" t="s">
        <v>192</v>
      </c>
      <c r="C124" s="11" t="s">
        <v>126</v>
      </c>
      <c r="D124">
        <v>-102.5</v>
      </c>
      <c r="E124">
        <v>62.86</v>
      </c>
      <c r="F124">
        <v>-6443.15</v>
      </c>
    </row>
    <row r="125" spans="1:6" x14ac:dyDescent="0.25">
      <c r="A125" s="11" t="s">
        <v>193</v>
      </c>
      <c r="B125">
        <v>13979</v>
      </c>
      <c r="C125">
        <v>56.272999493251</v>
      </c>
      <c r="D125">
        <v>1152656.82</v>
      </c>
    </row>
    <row r="126" spans="1:6" x14ac:dyDescent="0.25">
      <c r="A126" s="11" t="s">
        <v>194</v>
      </c>
    </row>
    <row r="127" spans="1:6" x14ac:dyDescent="0.25">
      <c r="A127" s="11" t="s">
        <v>14</v>
      </c>
      <c r="B127" s="11" t="s">
        <v>195</v>
      </c>
      <c r="C127" s="11" t="s">
        <v>196</v>
      </c>
      <c r="D127">
        <v>5491</v>
      </c>
      <c r="E127">
        <v>57.14</v>
      </c>
      <c r="F127">
        <v>313755.74</v>
      </c>
    </row>
    <row r="128" spans="1:6" x14ac:dyDescent="0.25">
      <c r="A128" s="11" t="s">
        <v>14</v>
      </c>
      <c r="B128" s="11" t="s">
        <v>197</v>
      </c>
      <c r="C128" s="11" t="s">
        <v>23</v>
      </c>
      <c r="D128">
        <v>3123</v>
      </c>
      <c r="E128">
        <v>62.39</v>
      </c>
      <c r="F128">
        <v>194843.97</v>
      </c>
    </row>
    <row r="129" spans="1:6" x14ac:dyDescent="0.25">
      <c r="A129" s="11" t="s">
        <v>14</v>
      </c>
      <c r="B129" s="11" t="s">
        <v>198</v>
      </c>
      <c r="C129" s="11" t="s">
        <v>199</v>
      </c>
      <c r="D129">
        <v>1404.5</v>
      </c>
      <c r="E129">
        <v>62.39</v>
      </c>
      <c r="F129">
        <v>87626.755000000005</v>
      </c>
    </row>
    <row r="130" spans="1:6" x14ac:dyDescent="0.25">
      <c r="A130" s="11" t="s">
        <v>14</v>
      </c>
      <c r="B130" s="11" t="s">
        <v>200</v>
      </c>
      <c r="C130" s="11" t="s">
        <v>201</v>
      </c>
      <c r="D130">
        <v>7457</v>
      </c>
      <c r="E130">
        <v>62.39</v>
      </c>
      <c r="F130">
        <v>465242.23</v>
      </c>
    </row>
    <row r="131" spans="1:6" x14ac:dyDescent="0.25">
      <c r="A131" s="11" t="s">
        <v>14</v>
      </c>
      <c r="B131" s="11" t="s">
        <v>202</v>
      </c>
      <c r="C131" s="11" t="s">
        <v>203</v>
      </c>
      <c r="D131">
        <v>2406</v>
      </c>
      <c r="E131">
        <v>62.39</v>
      </c>
      <c r="F131">
        <v>150110.34</v>
      </c>
    </row>
    <row r="132" spans="1:6" x14ac:dyDescent="0.25">
      <c r="A132" s="11" t="s">
        <v>14</v>
      </c>
      <c r="B132" s="11" t="s">
        <v>204</v>
      </c>
      <c r="C132" s="11" t="s">
        <v>190</v>
      </c>
      <c r="D132">
        <v>5645</v>
      </c>
      <c r="E132">
        <v>62.39</v>
      </c>
      <c r="F132">
        <v>352191.55</v>
      </c>
    </row>
    <row r="133" spans="1:6" x14ac:dyDescent="0.25">
      <c r="A133" s="11" t="s">
        <v>14</v>
      </c>
      <c r="B133" s="11" t="s">
        <v>205</v>
      </c>
      <c r="C133" s="11" t="s">
        <v>206</v>
      </c>
      <c r="D133">
        <v>367</v>
      </c>
      <c r="E133">
        <v>62.39</v>
      </c>
      <c r="F133">
        <v>22897.13</v>
      </c>
    </row>
    <row r="134" spans="1:6" x14ac:dyDescent="0.25">
      <c r="A134" s="11" t="s">
        <v>14</v>
      </c>
      <c r="B134" s="11" t="s">
        <v>207</v>
      </c>
      <c r="C134" s="11" t="s">
        <v>206</v>
      </c>
      <c r="D134">
        <v>1275</v>
      </c>
      <c r="E134">
        <v>62.39</v>
      </c>
      <c r="F134">
        <v>79547.25</v>
      </c>
    </row>
    <row r="135" spans="1:6" x14ac:dyDescent="0.25">
      <c r="A135" s="11" t="s">
        <v>14</v>
      </c>
      <c r="B135" s="11" t="s">
        <v>208</v>
      </c>
      <c r="C135" s="11" t="s">
        <v>209</v>
      </c>
      <c r="D135">
        <v>838</v>
      </c>
      <c r="E135">
        <v>68.22</v>
      </c>
      <c r="F135">
        <v>57168.36</v>
      </c>
    </row>
    <row r="136" spans="1:6" x14ac:dyDescent="0.25">
      <c r="A136" s="11" t="s">
        <v>14</v>
      </c>
      <c r="B136" s="11" t="s">
        <v>210</v>
      </c>
      <c r="C136" s="11" t="s">
        <v>211</v>
      </c>
      <c r="D136">
        <v>5150.5</v>
      </c>
      <c r="E136">
        <v>62.39</v>
      </c>
      <c r="F136">
        <v>321339.69500000001</v>
      </c>
    </row>
    <row r="137" spans="1:6" x14ac:dyDescent="0.25">
      <c r="A137" s="11" t="s">
        <v>14</v>
      </c>
      <c r="B137" s="11" t="s">
        <v>212</v>
      </c>
      <c r="C137" s="11" t="s">
        <v>141</v>
      </c>
      <c r="D137">
        <v>398.5</v>
      </c>
      <c r="E137">
        <v>62.39</v>
      </c>
      <c r="F137">
        <v>24862.415000000001</v>
      </c>
    </row>
    <row r="138" spans="1:6" x14ac:dyDescent="0.25">
      <c r="A138" s="11" t="s">
        <v>14</v>
      </c>
      <c r="B138" s="11" t="s">
        <v>213</v>
      </c>
      <c r="C138" s="11" t="s">
        <v>65</v>
      </c>
      <c r="D138">
        <v>2935</v>
      </c>
      <c r="E138">
        <v>68.22</v>
      </c>
      <c r="F138">
        <v>200225.7</v>
      </c>
    </row>
    <row r="139" spans="1:6" x14ac:dyDescent="0.25">
      <c r="A139" s="11" t="s">
        <v>14</v>
      </c>
      <c r="B139" s="11" t="s">
        <v>214</v>
      </c>
      <c r="C139" s="11" t="s">
        <v>215</v>
      </c>
      <c r="D139">
        <v>2850</v>
      </c>
      <c r="E139">
        <v>68.22</v>
      </c>
      <c r="F139">
        <v>194427</v>
      </c>
    </row>
    <row r="140" spans="1:6" x14ac:dyDescent="0.25">
      <c r="A140" s="11" t="s">
        <v>14</v>
      </c>
      <c r="B140" s="11" t="s">
        <v>216</v>
      </c>
      <c r="C140" s="11" t="s">
        <v>217</v>
      </c>
      <c r="D140">
        <v>634</v>
      </c>
      <c r="E140">
        <v>68.22</v>
      </c>
      <c r="F140">
        <v>43251.48</v>
      </c>
    </row>
    <row r="141" spans="1:6" x14ac:dyDescent="0.25">
      <c r="A141" s="11" t="s">
        <v>14</v>
      </c>
      <c r="B141" s="11" t="s">
        <v>218</v>
      </c>
      <c r="C141" s="11" t="s">
        <v>70</v>
      </c>
      <c r="D141">
        <v>889</v>
      </c>
      <c r="E141">
        <v>68.22</v>
      </c>
      <c r="F141">
        <v>60647.58</v>
      </c>
    </row>
    <row r="142" spans="1:6" x14ac:dyDescent="0.25">
      <c r="A142" s="11" t="s">
        <v>14</v>
      </c>
      <c r="B142" s="11" t="s">
        <v>219</v>
      </c>
      <c r="C142" s="11" t="s">
        <v>150</v>
      </c>
      <c r="D142">
        <v>1384</v>
      </c>
      <c r="E142">
        <v>68.22</v>
      </c>
      <c r="F142">
        <v>94416.48</v>
      </c>
    </row>
    <row r="143" spans="1:6" x14ac:dyDescent="0.25">
      <c r="A143" s="11" t="s">
        <v>14</v>
      </c>
      <c r="B143" s="11" t="s">
        <v>220</v>
      </c>
      <c r="C143" s="11" t="s">
        <v>221</v>
      </c>
      <c r="D143">
        <v>2207</v>
      </c>
      <c r="E143">
        <v>68.22</v>
      </c>
      <c r="F143">
        <v>150561.54</v>
      </c>
    </row>
    <row r="144" spans="1:6" x14ac:dyDescent="0.25">
      <c r="A144" s="11" t="s">
        <v>14</v>
      </c>
      <c r="B144" s="11" t="s">
        <v>222</v>
      </c>
      <c r="C144" s="11" t="s">
        <v>223</v>
      </c>
      <c r="D144">
        <v>229</v>
      </c>
      <c r="E144">
        <v>68.22</v>
      </c>
      <c r="F144">
        <v>15622.38</v>
      </c>
    </row>
    <row r="145" spans="1:6" x14ac:dyDescent="0.25">
      <c r="A145" s="11" t="s">
        <v>14</v>
      </c>
      <c r="B145" s="11" t="s">
        <v>224</v>
      </c>
      <c r="C145" s="11" t="s">
        <v>223</v>
      </c>
      <c r="D145">
        <v>4163</v>
      </c>
      <c r="E145">
        <v>68.22</v>
      </c>
      <c r="F145">
        <v>283999.86</v>
      </c>
    </row>
    <row r="146" spans="1:6" x14ac:dyDescent="0.25">
      <c r="A146" s="11" t="s">
        <v>14</v>
      </c>
      <c r="B146" s="11" t="s">
        <v>225</v>
      </c>
      <c r="C146" s="11" t="s">
        <v>186</v>
      </c>
      <c r="D146">
        <v>821</v>
      </c>
      <c r="E146">
        <v>68.22</v>
      </c>
      <c r="F146">
        <v>56008.62</v>
      </c>
    </row>
    <row r="147" spans="1:6" x14ac:dyDescent="0.25">
      <c r="A147" s="11" t="s">
        <v>14</v>
      </c>
      <c r="B147" s="11" t="s">
        <v>226</v>
      </c>
      <c r="C147" s="11" t="s">
        <v>227</v>
      </c>
      <c r="D147">
        <v>4995</v>
      </c>
      <c r="E147">
        <v>68.22</v>
      </c>
      <c r="F147">
        <v>340758.9</v>
      </c>
    </row>
    <row r="148" spans="1:6" x14ac:dyDescent="0.25">
      <c r="A148" s="11" t="s">
        <v>14</v>
      </c>
      <c r="B148" s="11" t="s">
        <v>228</v>
      </c>
      <c r="C148" s="11" t="s">
        <v>160</v>
      </c>
      <c r="D148">
        <v>2618</v>
      </c>
      <c r="E148">
        <v>68.22</v>
      </c>
      <c r="F148">
        <v>178599.96</v>
      </c>
    </row>
    <row r="149" spans="1:6" x14ac:dyDescent="0.25">
      <c r="A149" s="11" t="s">
        <v>14</v>
      </c>
      <c r="B149" s="11" t="s">
        <v>229</v>
      </c>
      <c r="C149" s="11" t="s">
        <v>116</v>
      </c>
      <c r="D149">
        <v>-134</v>
      </c>
      <c r="E149">
        <v>52.91</v>
      </c>
      <c r="F149">
        <v>-7089.94</v>
      </c>
    </row>
    <row r="150" spans="1:6" x14ac:dyDescent="0.25">
      <c r="A150" s="11" t="s">
        <v>14</v>
      </c>
      <c r="B150" s="11" t="s">
        <v>230</v>
      </c>
      <c r="C150" s="11" t="s">
        <v>116</v>
      </c>
      <c r="D150">
        <v>-36.5</v>
      </c>
      <c r="E150">
        <v>57.14</v>
      </c>
      <c r="F150">
        <v>-2085.61</v>
      </c>
    </row>
    <row r="151" spans="1:6" x14ac:dyDescent="0.25">
      <c r="A151" s="11" t="s">
        <v>14</v>
      </c>
      <c r="B151" s="11" t="s">
        <v>231</v>
      </c>
      <c r="C151" s="11" t="s">
        <v>80</v>
      </c>
      <c r="D151">
        <v>-64</v>
      </c>
      <c r="E151">
        <v>57.14</v>
      </c>
      <c r="F151">
        <v>-3656.96</v>
      </c>
    </row>
    <row r="152" spans="1:6" x14ac:dyDescent="0.25">
      <c r="A152" s="11" t="s">
        <v>14</v>
      </c>
      <c r="B152" s="11" t="s">
        <v>232</v>
      </c>
      <c r="C152" s="11" t="s">
        <v>82</v>
      </c>
      <c r="D152">
        <v>-395</v>
      </c>
      <c r="E152">
        <v>57.14</v>
      </c>
      <c r="F152">
        <v>-22570.3</v>
      </c>
    </row>
    <row r="153" spans="1:6" x14ac:dyDescent="0.25">
      <c r="A153" s="11" t="s">
        <v>14</v>
      </c>
      <c r="B153" s="11" t="s">
        <v>233</v>
      </c>
      <c r="C153" s="11" t="s">
        <v>47</v>
      </c>
      <c r="D153">
        <v>-683</v>
      </c>
      <c r="E153">
        <v>57.14</v>
      </c>
      <c r="F153">
        <v>-39026.620000000003</v>
      </c>
    </row>
    <row r="154" spans="1:6" x14ac:dyDescent="0.25">
      <c r="A154" s="11" t="s">
        <v>14</v>
      </c>
      <c r="B154" s="11" t="s">
        <v>234</v>
      </c>
      <c r="C154" s="11" t="s">
        <v>235</v>
      </c>
      <c r="D154">
        <v>-120</v>
      </c>
      <c r="E154">
        <v>62.39</v>
      </c>
      <c r="F154">
        <v>-7486.8</v>
      </c>
    </row>
    <row r="155" spans="1:6" x14ac:dyDescent="0.25">
      <c r="A155" s="11" t="s">
        <v>14</v>
      </c>
      <c r="B155" s="11" t="s">
        <v>236</v>
      </c>
      <c r="C155" s="11" t="s">
        <v>237</v>
      </c>
      <c r="D155">
        <v>-514</v>
      </c>
      <c r="E155">
        <v>57.14</v>
      </c>
      <c r="F155">
        <v>-29369.96</v>
      </c>
    </row>
    <row r="156" spans="1:6" x14ac:dyDescent="0.25">
      <c r="A156" s="11" t="s">
        <v>14</v>
      </c>
      <c r="B156" s="11" t="s">
        <v>238</v>
      </c>
      <c r="C156" s="11" t="s">
        <v>237</v>
      </c>
      <c r="D156">
        <v>-585.9</v>
      </c>
      <c r="E156">
        <v>57.14</v>
      </c>
      <c r="F156">
        <v>-33478.326000000001</v>
      </c>
    </row>
    <row r="157" spans="1:6" x14ac:dyDescent="0.25">
      <c r="A157" s="11" t="s">
        <v>14</v>
      </c>
      <c r="B157" s="11" t="s">
        <v>239</v>
      </c>
      <c r="C157" s="11" t="s">
        <v>86</v>
      </c>
      <c r="D157">
        <v>-87.78</v>
      </c>
      <c r="E157">
        <v>69.150000000000006</v>
      </c>
      <c r="F157">
        <v>-6069.9870000000001</v>
      </c>
    </row>
    <row r="158" spans="1:6" x14ac:dyDescent="0.25">
      <c r="A158" s="11" t="s">
        <v>14</v>
      </c>
      <c r="B158" s="11" t="s">
        <v>240</v>
      </c>
      <c r="C158" s="11" t="s">
        <v>126</v>
      </c>
      <c r="D158">
        <v>-68.5</v>
      </c>
      <c r="E158">
        <v>68.22</v>
      </c>
      <c r="F158">
        <v>-4673.07</v>
      </c>
    </row>
    <row r="159" spans="1:6" x14ac:dyDescent="0.25">
      <c r="A159" s="11" t="s">
        <v>14</v>
      </c>
      <c r="B159" s="11" t="s">
        <v>241</v>
      </c>
      <c r="C159" s="11" t="s">
        <v>126</v>
      </c>
      <c r="D159">
        <v>-95.5</v>
      </c>
      <c r="E159">
        <v>68.22</v>
      </c>
      <c r="F159">
        <v>-6515.01</v>
      </c>
    </row>
    <row r="160" spans="1:6" x14ac:dyDescent="0.25">
      <c r="A160" s="11" t="s">
        <v>242</v>
      </c>
      <c r="B160">
        <v>54496.32</v>
      </c>
      <c r="C160">
        <v>64.099692498153601</v>
      </c>
      <c r="D160">
        <v>3526082.352</v>
      </c>
    </row>
    <row r="161" spans="1:6" x14ac:dyDescent="0.25">
      <c r="A161" s="11" t="s">
        <v>243</v>
      </c>
    </row>
    <row r="162" spans="1:6" x14ac:dyDescent="0.25">
      <c r="A162" s="11" t="s">
        <v>14</v>
      </c>
      <c r="B162" s="11" t="s">
        <v>244</v>
      </c>
      <c r="C162" s="11" t="s">
        <v>245</v>
      </c>
      <c r="D162">
        <v>1257</v>
      </c>
      <c r="E162">
        <v>63.32</v>
      </c>
      <c r="F162">
        <v>79593.240000000005</v>
      </c>
    </row>
    <row r="163" spans="1:6" x14ac:dyDescent="0.25">
      <c r="A163" s="11" t="s">
        <v>14</v>
      </c>
      <c r="B163" s="11" t="s">
        <v>246</v>
      </c>
      <c r="C163" s="11" t="s">
        <v>247</v>
      </c>
      <c r="D163">
        <v>2641</v>
      </c>
      <c r="E163">
        <v>69.989999999999995</v>
      </c>
      <c r="F163">
        <v>184843.59</v>
      </c>
    </row>
    <row r="164" spans="1:6" x14ac:dyDescent="0.25">
      <c r="A164" s="11" t="s">
        <v>248</v>
      </c>
      <c r="B164">
        <v>3898</v>
      </c>
      <c r="C164">
        <v>67.839104669061101</v>
      </c>
      <c r="D164">
        <v>264436.83</v>
      </c>
    </row>
    <row r="165" spans="1:6" x14ac:dyDescent="0.25">
      <c r="A165" s="11" t="s">
        <v>249</v>
      </c>
    </row>
    <row r="166" spans="1:6" x14ac:dyDescent="0.25">
      <c r="A166" s="11" t="s">
        <v>14</v>
      </c>
      <c r="B166" s="11" t="s">
        <v>250</v>
      </c>
      <c r="C166" s="11" t="s">
        <v>116</v>
      </c>
      <c r="D166">
        <v>-9.5</v>
      </c>
      <c r="E166">
        <v>64</v>
      </c>
      <c r="F166">
        <v>-608</v>
      </c>
    </row>
    <row r="167" spans="1:6" x14ac:dyDescent="0.25">
      <c r="A167" s="11" t="s">
        <v>251</v>
      </c>
      <c r="B167">
        <v>-9.5</v>
      </c>
      <c r="C167">
        <v>64</v>
      </c>
      <c r="D167">
        <v>-608</v>
      </c>
    </row>
    <row r="168" spans="1:6" x14ac:dyDescent="0.25">
      <c r="A168" s="11" t="s">
        <v>252</v>
      </c>
    </row>
    <row r="169" spans="1:6" x14ac:dyDescent="0.25">
      <c r="A169" s="11" t="s">
        <v>14</v>
      </c>
      <c r="B169" s="11" t="s">
        <v>253</v>
      </c>
      <c r="C169" s="11" t="s">
        <v>90</v>
      </c>
      <c r="D169">
        <v>2319.5</v>
      </c>
      <c r="E169">
        <v>70.16</v>
      </c>
      <c r="F169">
        <v>162736.12</v>
      </c>
    </row>
    <row r="170" spans="1:6" x14ac:dyDescent="0.25">
      <c r="A170" s="11" t="s">
        <v>14</v>
      </c>
      <c r="B170" s="11" t="s">
        <v>254</v>
      </c>
      <c r="C170" s="11" t="s">
        <v>156</v>
      </c>
      <c r="D170">
        <v>2940.5</v>
      </c>
      <c r="E170">
        <v>83.42</v>
      </c>
      <c r="F170">
        <v>245296.51</v>
      </c>
    </row>
    <row r="171" spans="1:6" x14ac:dyDescent="0.25">
      <c r="A171" s="11" t="s">
        <v>14</v>
      </c>
      <c r="B171" s="11" t="s">
        <v>255</v>
      </c>
      <c r="C171" s="11" t="s">
        <v>256</v>
      </c>
      <c r="D171">
        <v>1112.5</v>
      </c>
      <c r="E171">
        <v>75.760000000000005</v>
      </c>
      <c r="F171">
        <v>84283</v>
      </c>
    </row>
    <row r="172" spans="1:6" x14ac:dyDescent="0.25">
      <c r="A172" s="11" t="s">
        <v>14</v>
      </c>
      <c r="B172" s="11" t="s">
        <v>257</v>
      </c>
      <c r="C172" s="11" t="s">
        <v>76</v>
      </c>
      <c r="D172">
        <v>184</v>
      </c>
      <c r="E172">
        <v>83.42</v>
      </c>
      <c r="F172">
        <v>15349.28</v>
      </c>
    </row>
    <row r="173" spans="1:6" x14ac:dyDescent="0.25">
      <c r="A173" s="11" t="s">
        <v>258</v>
      </c>
      <c r="B173">
        <v>6556.5</v>
      </c>
      <c r="C173">
        <v>77.429254937847901</v>
      </c>
      <c r="D173">
        <v>507664.91</v>
      </c>
    </row>
    <row r="174" spans="1:6" x14ac:dyDescent="0.25">
      <c r="A174" s="11" t="s">
        <v>259</v>
      </c>
    </row>
    <row r="175" spans="1:6" x14ac:dyDescent="0.25">
      <c r="A175" s="11" t="s">
        <v>14</v>
      </c>
      <c r="B175" s="11" t="s">
        <v>260</v>
      </c>
      <c r="C175" s="11" t="s">
        <v>134</v>
      </c>
      <c r="D175">
        <v>526</v>
      </c>
      <c r="E175">
        <v>51.45</v>
      </c>
      <c r="F175">
        <v>27062.7</v>
      </c>
    </row>
    <row r="176" spans="1:6" x14ac:dyDescent="0.25">
      <c r="A176" s="11" t="s">
        <v>14</v>
      </c>
      <c r="B176" s="11" t="s">
        <v>261</v>
      </c>
      <c r="C176" s="11" t="s">
        <v>262</v>
      </c>
      <c r="D176">
        <v>2007</v>
      </c>
      <c r="E176">
        <v>75.94</v>
      </c>
      <c r="F176">
        <v>152411.57999999999</v>
      </c>
    </row>
    <row r="177" spans="1:6" x14ac:dyDescent="0.25">
      <c r="A177" s="11" t="s">
        <v>14</v>
      </c>
      <c r="B177" s="11" t="s">
        <v>263</v>
      </c>
      <c r="C177" s="11" t="s">
        <v>264</v>
      </c>
      <c r="D177">
        <v>184</v>
      </c>
      <c r="E177">
        <v>75.94</v>
      </c>
      <c r="F177">
        <v>13972.96</v>
      </c>
    </row>
    <row r="178" spans="1:6" x14ac:dyDescent="0.25">
      <c r="A178" s="11" t="s">
        <v>14</v>
      </c>
      <c r="B178" s="11" t="s">
        <v>265</v>
      </c>
      <c r="C178" s="11" t="s">
        <v>266</v>
      </c>
      <c r="D178">
        <v>1557</v>
      </c>
      <c r="E178">
        <v>78.66</v>
      </c>
      <c r="F178">
        <v>122473.62</v>
      </c>
    </row>
    <row r="179" spans="1:6" x14ac:dyDescent="0.25">
      <c r="A179" s="11" t="s">
        <v>14</v>
      </c>
      <c r="B179" s="11" t="s">
        <v>267</v>
      </c>
      <c r="C179" s="11" t="s">
        <v>268</v>
      </c>
      <c r="D179">
        <v>1082</v>
      </c>
      <c r="E179">
        <v>79.62</v>
      </c>
      <c r="F179">
        <v>86148.84</v>
      </c>
    </row>
    <row r="180" spans="1:6" x14ac:dyDescent="0.25">
      <c r="A180" s="11" t="s">
        <v>14</v>
      </c>
      <c r="B180" s="11" t="s">
        <v>269</v>
      </c>
      <c r="C180" s="11" t="s">
        <v>270</v>
      </c>
      <c r="D180">
        <v>652</v>
      </c>
      <c r="E180">
        <v>75.94</v>
      </c>
      <c r="F180">
        <v>49512.88</v>
      </c>
    </row>
    <row r="181" spans="1:6" x14ac:dyDescent="0.25">
      <c r="A181" s="11" t="s">
        <v>14</v>
      </c>
      <c r="B181" s="11" t="s">
        <v>271</v>
      </c>
      <c r="C181" s="11" t="s">
        <v>270</v>
      </c>
      <c r="D181">
        <v>804</v>
      </c>
      <c r="E181">
        <v>75.94</v>
      </c>
      <c r="F181">
        <v>61055.76</v>
      </c>
    </row>
    <row r="182" spans="1:6" x14ac:dyDescent="0.25">
      <c r="A182" s="11" t="s">
        <v>14</v>
      </c>
      <c r="B182" s="11" t="s">
        <v>272</v>
      </c>
      <c r="C182" s="11" t="s">
        <v>273</v>
      </c>
      <c r="D182">
        <v>3341</v>
      </c>
      <c r="E182">
        <v>75.94</v>
      </c>
      <c r="F182">
        <v>253715.54</v>
      </c>
    </row>
    <row r="183" spans="1:6" x14ac:dyDescent="0.25">
      <c r="A183" s="11" t="s">
        <v>14</v>
      </c>
      <c r="B183" s="11" t="s">
        <v>274</v>
      </c>
      <c r="C183" s="11" t="s">
        <v>43</v>
      </c>
      <c r="D183">
        <v>674</v>
      </c>
      <c r="E183">
        <v>79.62</v>
      </c>
      <c r="F183">
        <v>53663.88</v>
      </c>
    </row>
    <row r="184" spans="1:6" x14ac:dyDescent="0.25">
      <c r="A184" s="11" t="s">
        <v>14</v>
      </c>
      <c r="B184" s="11" t="s">
        <v>275</v>
      </c>
      <c r="C184" s="11" t="s">
        <v>188</v>
      </c>
      <c r="D184">
        <v>2255.5</v>
      </c>
      <c r="E184">
        <v>75.94</v>
      </c>
      <c r="F184">
        <v>171282.67</v>
      </c>
    </row>
    <row r="185" spans="1:6" x14ac:dyDescent="0.25">
      <c r="A185" s="11" t="s">
        <v>14</v>
      </c>
      <c r="B185" s="11" t="s">
        <v>276</v>
      </c>
      <c r="C185" s="11" t="s">
        <v>277</v>
      </c>
      <c r="D185">
        <v>430</v>
      </c>
      <c r="E185">
        <v>75.94</v>
      </c>
      <c r="F185">
        <v>32654.2</v>
      </c>
    </row>
    <row r="186" spans="1:6" x14ac:dyDescent="0.25">
      <c r="A186" s="11" t="s">
        <v>14</v>
      </c>
      <c r="B186" s="11" t="s">
        <v>278</v>
      </c>
      <c r="C186" s="11" t="s">
        <v>279</v>
      </c>
      <c r="D186">
        <v>726</v>
      </c>
      <c r="E186">
        <v>79.62</v>
      </c>
      <c r="F186">
        <v>57804.12</v>
      </c>
    </row>
    <row r="187" spans="1:6" x14ac:dyDescent="0.25">
      <c r="A187" s="11" t="s">
        <v>14</v>
      </c>
      <c r="B187" s="11" t="s">
        <v>280</v>
      </c>
      <c r="C187" s="11" t="s">
        <v>126</v>
      </c>
      <c r="D187">
        <v>-2841.5</v>
      </c>
      <c r="E187">
        <v>75.94</v>
      </c>
      <c r="F187">
        <v>-215783.51</v>
      </c>
    </row>
    <row r="188" spans="1:6" x14ac:dyDescent="0.25">
      <c r="A188" s="11" t="s">
        <v>281</v>
      </c>
      <c r="B188">
        <v>11397</v>
      </c>
      <c r="C188">
        <v>75.968516393442599</v>
      </c>
      <c r="D188">
        <v>865975.24</v>
      </c>
    </row>
    <row r="189" spans="1:6" x14ac:dyDescent="0.25">
      <c r="A189" s="11" t="s">
        <v>282</v>
      </c>
    </row>
    <row r="190" spans="1:6" x14ac:dyDescent="0.25">
      <c r="A190" s="11" t="s">
        <v>14</v>
      </c>
      <c r="B190" s="11" t="s">
        <v>283</v>
      </c>
      <c r="C190" s="11" t="s">
        <v>166</v>
      </c>
      <c r="D190">
        <v>-1300</v>
      </c>
      <c r="E190">
        <v>63.5</v>
      </c>
      <c r="F190">
        <v>-82550</v>
      </c>
    </row>
    <row r="191" spans="1:6" x14ac:dyDescent="0.25">
      <c r="A191" s="11" t="s">
        <v>284</v>
      </c>
      <c r="B191">
        <v>-1300</v>
      </c>
      <c r="C191">
        <v>63.5</v>
      </c>
      <c r="D191">
        <v>-82550</v>
      </c>
    </row>
    <row r="192" spans="1:6" x14ac:dyDescent="0.25">
      <c r="A192" s="11" t="s">
        <v>285</v>
      </c>
    </row>
    <row r="193" spans="1:6" x14ac:dyDescent="0.25">
      <c r="A193" s="11" t="s">
        <v>14</v>
      </c>
      <c r="B193" s="11" t="s">
        <v>286</v>
      </c>
      <c r="C193" s="11" t="s">
        <v>53</v>
      </c>
      <c r="D193">
        <v>540</v>
      </c>
      <c r="E193">
        <v>124.54</v>
      </c>
      <c r="F193">
        <v>67251.600000000006</v>
      </c>
    </row>
    <row r="194" spans="1:6" x14ac:dyDescent="0.25">
      <c r="A194" s="11" t="s">
        <v>287</v>
      </c>
      <c r="B194">
        <v>540</v>
      </c>
      <c r="C194">
        <v>124.54</v>
      </c>
      <c r="D194">
        <v>67251.600000000006</v>
      </c>
    </row>
    <row r="195" spans="1:6" x14ac:dyDescent="0.25">
      <c r="A195" s="11" t="s">
        <v>288</v>
      </c>
    </row>
    <row r="196" spans="1:6" x14ac:dyDescent="0.25">
      <c r="A196" s="11" t="s">
        <v>14</v>
      </c>
      <c r="B196" s="11" t="s">
        <v>289</v>
      </c>
      <c r="C196" s="11" t="s">
        <v>39</v>
      </c>
      <c r="D196">
        <v>1183</v>
      </c>
      <c r="E196">
        <v>88.62</v>
      </c>
      <c r="F196">
        <v>104837.46</v>
      </c>
    </row>
    <row r="197" spans="1:6" x14ac:dyDescent="0.25">
      <c r="A197" s="11" t="s">
        <v>290</v>
      </c>
      <c r="B197">
        <v>1183</v>
      </c>
      <c r="C197">
        <v>88.62</v>
      </c>
      <c r="D197">
        <v>104837.46</v>
      </c>
    </row>
    <row r="198" spans="1:6" x14ac:dyDescent="0.25">
      <c r="A198" s="11" t="s">
        <v>291</v>
      </c>
    </row>
    <row r="199" spans="1:6" x14ac:dyDescent="0.25">
      <c r="A199" s="11" t="s">
        <v>14</v>
      </c>
      <c r="B199" s="11" t="s">
        <v>292</v>
      </c>
      <c r="C199" s="11" t="s">
        <v>84</v>
      </c>
      <c r="D199">
        <v>272</v>
      </c>
      <c r="E199">
        <v>99.36</v>
      </c>
      <c r="F199">
        <v>27025.919999999998</v>
      </c>
    </row>
    <row r="200" spans="1:6" x14ac:dyDescent="0.25">
      <c r="A200" s="11" t="s">
        <v>14</v>
      </c>
      <c r="B200" s="11" t="s">
        <v>293</v>
      </c>
      <c r="C200" s="11" t="s">
        <v>294</v>
      </c>
      <c r="D200">
        <v>309</v>
      </c>
      <c r="E200">
        <v>99.36</v>
      </c>
      <c r="F200">
        <v>30702.240000000002</v>
      </c>
    </row>
    <row r="201" spans="1:6" x14ac:dyDescent="0.25">
      <c r="A201" s="11" t="s">
        <v>295</v>
      </c>
      <c r="B201">
        <v>581</v>
      </c>
      <c r="C201">
        <v>99.36</v>
      </c>
      <c r="D201">
        <v>57728.160000000003</v>
      </c>
    </row>
    <row r="202" spans="1:6" x14ac:dyDescent="0.25">
      <c r="A202" s="11" t="s">
        <v>296</v>
      </c>
    </row>
    <row r="203" spans="1:6" x14ac:dyDescent="0.25">
      <c r="A203" s="11" t="s">
        <v>14</v>
      </c>
      <c r="B203" s="11" t="s">
        <v>297</v>
      </c>
      <c r="C203" s="11" t="s">
        <v>298</v>
      </c>
      <c r="D203">
        <v>5799.5</v>
      </c>
      <c r="E203">
        <v>68.349999999999994</v>
      </c>
      <c r="F203">
        <v>396395.82500000001</v>
      </c>
    </row>
    <row r="204" spans="1:6" x14ac:dyDescent="0.25">
      <c r="A204" s="11" t="s">
        <v>14</v>
      </c>
      <c r="B204" s="11" t="s">
        <v>299</v>
      </c>
      <c r="C204" s="11" t="s">
        <v>300</v>
      </c>
      <c r="D204">
        <v>4343</v>
      </c>
      <c r="E204">
        <v>68.349999999999994</v>
      </c>
      <c r="F204">
        <v>296844.05</v>
      </c>
    </row>
    <row r="205" spans="1:6" x14ac:dyDescent="0.25">
      <c r="A205" s="11" t="s">
        <v>14</v>
      </c>
      <c r="B205" s="11" t="s">
        <v>301</v>
      </c>
      <c r="C205" s="11" t="s">
        <v>300</v>
      </c>
      <c r="D205">
        <v>2894.5</v>
      </c>
      <c r="E205">
        <v>68.349999999999994</v>
      </c>
      <c r="F205">
        <v>197839.07500000001</v>
      </c>
    </row>
    <row r="206" spans="1:6" x14ac:dyDescent="0.25">
      <c r="A206" s="11" t="s">
        <v>14</v>
      </c>
      <c r="B206" s="11" t="s">
        <v>302</v>
      </c>
      <c r="C206" s="11" t="s">
        <v>130</v>
      </c>
      <c r="D206">
        <v>426</v>
      </c>
      <c r="E206">
        <v>68.349999999999994</v>
      </c>
      <c r="F206">
        <v>29117.1</v>
      </c>
    </row>
    <row r="207" spans="1:6" x14ac:dyDescent="0.25">
      <c r="A207" s="11" t="s">
        <v>14</v>
      </c>
      <c r="B207" s="11" t="s">
        <v>303</v>
      </c>
      <c r="C207" s="11" t="s">
        <v>304</v>
      </c>
      <c r="D207">
        <v>4880.5</v>
      </c>
      <c r="E207">
        <v>75.94</v>
      </c>
      <c r="F207">
        <v>370625.17</v>
      </c>
    </row>
    <row r="208" spans="1:6" x14ac:dyDescent="0.25">
      <c r="A208" s="11" t="s">
        <v>14</v>
      </c>
      <c r="B208" s="11" t="s">
        <v>305</v>
      </c>
      <c r="C208" s="11" t="s">
        <v>306</v>
      </c>
      <c r="D208">
        <v>2350</v>
      </c>
      <c r="E208">
        <v>75.94</v>
      </c>
      <c r="F208">
        <v>178459</v>
      </c>
    </row>
    <row r="209" spans="1:6" x14ac:dyDescent="0.25">
      <c r="A209" s="11" t="s">
        <v>307</v>
      </c>
      <c r="B209">
        <v>20693.5</v>
      </c>
      <c r="C209">
        <v>71.002016092009598</v>
      </c>
      <c r="D209">
        <v>1469280.22</v>
      </c>
    </row>
    <row r="210" spans="1:6" x14ac:dyDescent="0.25">
      <c r="A210" s="11" t="s">
        <v>308</v>
      </c>
    </row>
    <row r="211" spans="1:6" x14ac:dyDescent="0.25">
      <c r="A211" s="11" t="s">
        <v>14</v>
      </c>
      <c r="B211" s="11" t="s">
        <v>309</v>
      </c>
      <c r="C211" s="11" t="s">
        <v>310</v>
      </c>
      <c r="D211">
        <v>274</v>
      </c>
      <c r="E211">
        <v>147.96</v>
      </c>
      <c r="F211">
        <v>40541.040000000001</v>
      </c>
    </row>
    <row r="212" spans="1:6" x14ac:dyDescent="0.25">
      <c r="A212" s="11" t="s">
        <v>311</v>
      </c>
      <c r="B212">
        <v>274</v>
      </c>
      <c r="C212">
        <v>147.96</v>
      </c>
      <c r="D212">
        <v>40541.040000000001</v>
      </c>
    </row>
    <row r="213" spans="1:6" x14ac:dyDescent="0.25">
      <c r="A213" s="11" t="s">
        <v>312</v>
      </c>
    </row>
    <row r="214" spans="1:6" x14ac:dyDescent="0.25">
      <c r="A214" s="11" t="s">
        <v>14</v>
      </c>
      <c r="B214" s="11" t="s">
        <v>313</v>
      </c>
      <c r="C214" s="11" t="s">
        <v>53</v>
      </c>
      <c r="D214">
        <v>41</v>
      </c>
      <c r="E214">
        <v>147.96</v>
      </c>
      <c r="F214">
        <v>6066.36</v>
      </c>
    </row>
    <row r="215" spans="1:6" x14ac:dyDescent="0.25">
      <c r="A215" s="11" t="s">
        <v>14</v>
      </c>
      <c r="B215" s="11" t="s">
        <v>314</v>
      </c>
      <c r="C215" s="11" t="s">
        <v>116</v>
      </c>
      <c r="D215">
        <v>-47</v>
      </c>
      <c r="E215">
        <v>76</v>
      </c>
      <c r="F215">
        <v>-3572</v>
      </c>
    </row>
    <row r="216" spans="1:6" x14ac:dyDescent="0.25">
      <c r="A216" s="11" t="s">
        <v>315</v>
      </c>
      <c r="B216">
        <v>-6</v>
      </c>
      <c r="C216">
        <v>109.526818181818</v>
      </c>
      <c r="D216">
        <v>2494.36</v>
      </c>
    </row>
    <row r="217" spans="1:6" x14ac:dyDescent="0.25">
      <c r="A217" s="11" t="s">
        <v>316</v>
      </c>
    </row>
    <row r="218" spans="1:6" x14ac:dyDescent="0.25">
      <c r="A218" s="11" t="s">
        <v>14</v>
      </c>
      <c r="B218" s="11" t="s">
        <v>309</v>
      </c>
      <c r="C218" s="11" t="s">
        <v>310</v>
      </c>
      <c r="D218">
        <v>245</v>
      </c>
      <c r="E218">
        <v>147.96</v>
      </c>
      <c r="F218">
        <v>36250.199999999997</v>
      </c>
    </row>
    <row r="219" spans="1:6" x14ac:dyDescent="0.25">
      <c r="A219" s="11" t="s">
        <v>317</v>
      </c>
      <c r="B219">
        <v>245</v>
      </c>
      <c r="C219">
        <v>147.96</v>
      </c>
      <c r="D219">
        <v>36250.199999999997</v>
      </c>
    </row>
    <row r="220" spans="1:6" x14ac:dyDescent="0.25">
      <c r="A220" s="11" t="s">
        <v>318</v>
      </c>
    </row>
    <row r="221" spans="1:6" x14ac:dyDescent="0.25">
      <c r="A221" s="11" t="s">
        <v>14</v>
      </c>
      <c r="B221" s="11" t="s">
        <v>319</v>
      </c>
      <c r="C221" s="11" t="s">
        <v>116</v>
      </c>
      <c r="D221">
        <v>-7.5</v>
      </c>
      <c r="E221">
        <v>57</v>
      </c>
      <c r="F221">
        <v>-427.5</v>
      </c>
    </row>
    <row r="222" spans="1:6" x14ac:dyDescent="0.25">
      <c r="A222" s="11" t="s">
        <v>14</v>
      </c>
      <c r="B222" s="11" t="s">
        <v>320</v>
      </c>
      <c r="C222" s="11" t="s">
        <v>116</v>
      </c>
      <c r="D222">
        <v>-28.5</v>
      </c>
      <c r="E222">
        <v>57</v>
      </c>
      <c r="F222">
        <v>-1624.5</v>
      </c>
    </row>
    <row r="223" spans="1:6" x14ac:dyDescent="0.25">
      <c r="A223" s="11" t="s">
        <v>14</v>
      </c>
      <c r="B223" s="11" t="s">
        <v>321</v>
      </c>
      <c r="C223" s="11" t="s">
        <v>116</v>
      </c>
      <c r="D223">
        <v>-45</v>
      </c>
      <c r="E223">
        <v>57</v>
      </c>
      <c r="F223">
        <v>-2565</v>
      </c>
    </row>
    <row r="224" spans="1:6" x14ac:dyDescent="0.25">
      <c r="A224" s="11" t="s">
        <v>14</v>
      </c>
      <c r="B224" s="11" t="s">
        <v>322</v>
      </c>
      <c r="C224" s="11" t="s">
        <v>116</v>
      </c>
      <c r="D224">
        <v>-13</v>
      </c>
      <c r="E224">
        <v>57</v>
      </c>
      <c r="F224">
        <v>-741</v>
      </c>
    </row>
    <row r="225" spans="1:6" x14ac:dyDescent="0.25">
      <c r="A225" s="11" t="s">
        <v>323</v>
      </c>
      <c r="B225">
        <v>-94</v>
      </c>
      <c r="C225">
        <v>57</v>
      </c>
      <c r="D225">
        <v>-5358</v>
      </c>
    </row>
    <row r="226" spans="1:6" x14ac:dyDescent="0.25">
      <c r="A226" s="11" t="s">
        <v>324</v>
      </c>
    </row>
    <row r="227" spans="1:6" x14ac:dyDescent="0.25">
      <c r="A227" s="11" t="s">
        <v>14</v>
      </c>
      <c r="B227" s="11" t="s">
        <v>325</v>
      </c>
      <c r="C227" s="11" t="s">
        <v>326</v>
      </c>
      <c r="D227">
        <v>811</v>
      </c>
      <c r="E227">
        <v>96.22</v>
      </c>
      <c r="F227">
        <v>78034.42</v>
      </c>
    </row>
    <row r="228" spans="1:6" x14ac:dyDescent="0.25">
      <c r="A228" s="11" t="s">
        <v>14</v>
      </c>
      <c r="B228" s="11" t="s">
        <v>327</v>
      </c>
      <c r="C228" s="11" t="s">
        <v>174</v>
      </c>
      <c r="D228">
        <v>407</v>
      </c>
      <c r="E228">
        <v>96.62</v>
      </c>
      <c r="F228">
        <v>39324.339999999997</v>
      </c>
    </row>
    <row r="229" spans="1:6" x14ac:dyDescent="0.25">
      <c r="A229" s="11" t="s">
        <v>328</v>
      </c>
      <c r="B229">
        <v>1218</v>
      </c>
      <c r="C229">
        <v>96.353661740558294</v>
      </c>
      <c r="D229">
        <v>117358.76</v>
      </c>
    </row>
    <row r="230" spans="1:6" x14ac:dyDescent="0.25">
      <c r="A230" s="11" t="s">
        <v>329</v>
      </c>
    </row>
    <row r="231" spans="1:6" x14ac:dyDescent="0.25">
      <c r="A231" s="11" t="s">
        <v>14</v>
      </c>
      <c r="B231" s="11" t="s">
        <v>330</v>
      </c>
      <c r="C231" s="11" t="s">
        <v>29</v>
      </c>
      <c r="D231">
        <v>1477</v>
      </c>
      <c r="E231">
        <v>71.989999999999995</v>
      </c>
      <c r="F231">
        <v>106329.23</v>
      </c>
    </row>
    <row r="232" spans="1:6" x14ac:dyDescent="0.25">
      <c r="A232" s="11" t="s">
        <v>14</v>
      </c>
      <c r="B232" s="11" t="s">
        <v>331</v>
      </c>
      <c r="C232" s="11" t="s">
        <v>332</v>
      </c>
      <c r="D232">
        <v>2964</v>
      </c>
      <c r="E232">
        <v>79.19</v>
      </c>
      <c r="F232">
        <v>234719.16</v>
      </c>
    </row>
    <row r="233" spans="1:6" x14ac:dyDescent="0.25">
      <c r="A233" s="11" t="s">
        <v>14</v>
      </c>
      <c r="B233" s="11" t="s">
        <v>333</v>
      </c>
      <c r="C233" s="11" t="s">
        <v>70</v>
      </c>
      <c r="D233">
        <v>68.5</v>
      </c>
      <c r="E233">
        <v>79.19</v>
      </c>
      <c r="F233">
        <v>5424.5150000000003</v>
      </c>
    </row>
    <row r="234" spans="1:6" x14ac:dyDescent="0.25">
      <c r="A234" s="11" t="s">
        <v>14</v>
      </c>
      <c r="B234" s="11" t="s">
        <v>334</v>
      </c>
      <c r="C234" s="11" t="s">
        <v>116</v>
      </c>
      <c r="D234">
        <v>-88.5</v>
      </c>
      <c r="E234">
        <v>62.59</v>
      </c>
      <c r="F234">
        <v>-5539.2150000000001</v>
      </c>
    </row>
    <row r="235" spans="1:6" x14ac:dyDescent="0.25">
      <c r="A235" s="11" t="s">
        <v>14</v>
      </c>
      <c r="B235" s="11" t="s">
        <v>335</v>
      </c>
      <c r="C235" s="11" t="s">
        <v>82</v>
      </c>
      <c r="D235">
        <v>-122</v>
      </c>
      <c r="E235">
        <v>77.31</v>
      </c>
      <c r="F235">
        <v>-9431.82</v>
      </c>
    </row>
    <row r="236" spans="1:6" x14ac:dyDescent="0.25">
      <c r="A236" s="11" t="s">
        <v>336</v>
      </c>
      <c r="B236">
        <v>4299</v>
      </c>
      <c r="C236">
        <v>76.577105932203395</v>
      </c>
      <c r="D236">
        <v>331501.87</v>
      </c>
    </row>
    <row r="237" spans="1:6" x14ac:dyDescent="0.25">
      <c r="A237" s="11" t="s">
        <v>337</v>
      </c>
      <c r="B237">
        <v>15707122.455</v>
      </c>
    </row>
    <row r="238" spans="1:6" x14ac:dyDescent="0.25">
      <c r="A238" s="11" t="s">
        <v>338</v>
      </c>
      <c r="B238" s="11" t="s">
        <v>14</v>
      </c>
      <c r="C238" s="11" t="s">
        <v>14</v>
      </c>
      <c r="D238">
        <v>15707122.455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7404-27DB-4BF6-A551-A15A5D6D8963}">
  <dimension ref="A1:F138"/>
  <sheetViews>
    <sheetView workbookViewId="0">
      <selection sqref="A1:B4"/>
    </sheetView>
  </sheetViews>
  <sheetFormatPr defaultRowHeight="15" x14ac:dyDescent="0.25"/>
  <cols>
    <col min="1" max="1" width="54.140625" bestFit="1" customWidth="1"/>
    <col min="2" max="4" width="12" bestFit="1" customWidth="1"/>
    <col min="5" max="5" width="8.85546875" bestFit="1" customWidth="1"/>
    <col min="6" max="6" width="10.7109375" bestFit="1" customWidth="1"/>
  </cols>
  <sheetData>
    <row r="1" spans="1:6" x14ac:dyDescent="0.25">
      <c r="A1" t="s">
        <v>737</v>
      </c>
      <c r="B1" s="12">
        <f>SUM(B31,B38,B46,B90,B99,B107,B112,B115,B118,B121,B124,B127,B130,B133,B136)</f>
        <v>37273</v>
      </c>
    </row>
    <row r="2" spans="1:6" x14ac:dyDescent="0.25">
      <c r="A2" t="s">
        <v>342</v>
      </c>
      <c r="B2" s="12">
        <f>-B83</f>
        <v>-37227</v>
      </c>
    </row>
    <row r="3" spans="1:6" x14ac:dyDescent="0.25">
      <c r="A3" t="s">
        <v>738</v>
      </c>
      <c r="B3" s="12">
        <f>-B209</f>
        <v>0</v>
      </c>
    </row>
    <row r="4" spans="1:6" ht="15.75" thickBot="1" x14ac:dyDescent="0.3">
      <c r="A4" t="s">
        <v>341</v>
      </c>
      <c r="B4" s="13">
        <f>SUM(B1:B3)</f>
        <v>46</v>
      </c>
    </row>
    <row r="5" spans="1:6" ht="15.75" thickTop="1" x14ac:dyDescent="0.25"/>
    <row r="6" spans="1:6" x14ac:dyDescent="0.25">
      <c r="A6" s="11" t="s">
        <v>12</v>
      </c>
    </row>
    <row r="7" spans="1:6" x14ac:dyDescent="0.25">
      <c r="A7" s="11" t="s">
        <v>624</v>
      </c>
    </row>
    <row r="8" spans="1:6" x14ac:dyDescent="0.25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 t="s">
        <v>19</v>
      </c>
    </row>
    <row r="9" spans="1:6" x14ac:dyDescent="0.25">
      <c r="A9" s="11" t="s">
        <v>741</v>
      </c>
    </row>
    <row r="10" spans="1:6" x14ac:dyDescent="0.25">
      <c r="A10" s="11" t="s">
        <v>627</v>
      </c>
    </row>
    <row r="11" spans="1:6" x14ac:dyDescent="0.25">
      <c r="A11" s="11" t="s">
        <v>14</v>
      </c>
      <c r="B11" s="11" t="s">
        <v>742</v>
      </c>
      <c r="C11" s="11" t="s">
        <v>743</v>
      </c>
      <c r="D11" s="11" t="s">
        <v>14</v>
      </c>
      <c r="E11" s="11" t="s">
        <v>14</v>
      </c>
      <c r="F11">
        <v>-3.0000000000000001E-3</v>
      </c>
    </row>
    <row r="12" spans="1:6" x14ac:dyDescent="0.25">
      <c r="A12" s="11" t="s">
        <v>14</v>
      </c>
      <c r="B12" s="11" t="s">
        <v>744</v>
      </c>
      <c r="C12" s="11" t="s">
        <v>699</v>
      </c>
      <c r="D12" s="11" t="s">
        <v>14</v>
      </c>
      <c r="E12" s="11" t="s">
        <v>14</v>
      </c>
      <c r="F12">
        <v>2.4E-2</v>
      </c>
    </row>
    <row r="13" spans="1:6" x14ac:dyDescent="0.25">
      <c r="A13" s="11" t="s">
        <v>14</v>
      </c>
      <c r="B13" s="11" t="s">
        <v>745</v>
      </c>
      <c r="C13" s="11" t="s">
        <v>746</v>
      </c>
      <c r="D13" s="11" t="s">
        <v>14</v>
      </c>
      <c r="E13" s="11" t="s">
        <v>14</v>
      </c>
      <c r="F13">
        <v>-4.0000000000000001E-3</v>
      </c>
    </row>
    <row r="14" spans="1:6" x14ac:dyDescent="0.25">
      <c r="A14" s="11" t="s">
        <v>14</v>
      </c>
      <c r="B14" s="11" t="s">
        <v>747</v>
      </c>
      <c r="C14" s="11" t="s">
        <v>748</v>
      </c>
      <c r="D14" s="11" t="s">
        <v>14</v>
      </c>
      <c r="E14" s="11" t="s">
        <v>14</v>
      </c>
      <c r="F14">
        <v>2E-3</v>
      </c>
    </row>
    <row r="15" spans="1:6" x14ac:dyDescent="0.25">
      <c r="A15" s="11" t="s">
        <v>14</v>
      </c>
      <c r="B15" s="11" t="s">
        <v>749</v>
      </c>
      <c r="C15" s="11" t="s">
        <v>633</v>
      </c>
      <c r="D15" s="11" t="s">
        <v>14</v>
      </c>
      <c r="E15" s="11" t="s">
        <v>14</v>
      </c>
      <c r="F15">
        <v>7.0000000000000001E-3</v>
      </c>
    </row>
    <row r="16" spans="1:6" x14ac:dyDescent="0.25">
      <c r="A16" s="11" t="s">
        <v>14</v>
      </c>
      <c r="B16" s="11" t="s">
        <v>750</v>
      </c>
      <c r="C16" s="11" t="s">
        <v>633</v>
      </c>
      <c r="D16" s="11" t="s">
        <v>14</v>
      </c>
      <c r="E16" s="11" t="s">
        <v>14</v>
      </c>
      <c r="F16">
        <v>7.0000000000000001E-3</v>
      </c>
    </row>
    <row r="17" spans="1:6" x14ac:dyDescent="0.25">
      <c r="A17" s="11" t="s">
        <v>14</v>
      </c>
      <c r="B17" s="11" t="s">
        <v>751</v>
      </c>
      <c r="C17" s="11" t="s">
        <v>633</v>
      </c>
      <c r="D17" s="11" t="s">
        <v>14</v>
      </c>
      <c r="E17" s="11" t="s">
        <v>14</v>
      </c>
      <c r="F17">
        <v>1.9E-2</v>
      </c>
    </row>
    <row r="18" spans="1:6" x14ac:dyDescent="0.25">
      <c r="A18" s="11" t="s">
        <v>14</v>
      </c>
      <c r="B18" s="11" t="s">
        <v>752</v>
      </c>
      <c r="C18" s="11" t="s">
        <v>753</v>
      </c>
      <c r="D18" s="11" t="s">
        <v>14</v>
      </c>
      <c r="E18" s="11" t="s">
        <v>14</v>
      </c>
      <c r="F18">
        <v>6.0000000000000001E-3</v>
      </c>
    </row>
    <row r="19" spans="1:6" x14ac:dyDescent="0.25">
      <c r="A19" s="11" t="s">
        <v>14</v>
      </c>
      <c r="B19" s="11" t="s">
        <v>754</v>
      </c>
      <c r="C19" s="11" t="s">
        <v>635</v>
      </c>
      <c r="D19" s="11" t="s">
        <v>14</v>
      </c>
      <c r="E19" s="11" t="s">
        <v>14</v>
      </c>
      <c r="F19">
        <v>-2.1000000000000001E-2</v>
      </c>
    </row>
    <row r="20" spans="1:6" x14ac:dyDescent="0.25">
      <c r="A20" s="11" t="s">
        <v>14</v>
      </c>
      <c r="B20" s="11" t="s">
        <v>755</v>
      </c>
      <c r="C20" s="11" t="s">
        <v>756</v>
      </c>
      <c r="D20" s="11" t="s">
        <v>14</v>
      </c>
      <c r="E20" s="11" t="s">
        <v>14</v>
      </c>
      <c r="F20">
        <v>2.3E-2</v>
      </c>
    </row>
    <row r="21" spans="1:6" x14ac:dyDescent="0.25">
      <c r="A21" s="11" t="s">
        <v>14</v>
      </c>
      <c r="B21" s="11" t="s">
        <v>757</v>
      </c>
      <c r="C21" s="11" t="s">
        <v>686</v>
      </c>
      <c r="D21" s="11" t="s">
        <v>14</v>
      </c>
      <c r="E21" s="11" t="s">
        <v>14</v>
      </c>
      <c r="F21">
        <v>-1.0999999999999999E-2</v>
      </c>
    </row>
    <row r="22" spans="1:6" x14ac:dyDescent="0.25">
      <c r="A22" s="11" t="s">
        <v>14</v>
      </c>
      <c r="B22" s="11" t="s">
        <v>758</v>
      </c>
      <c r="C22" s="11" t="s">
        <v>748</v>
      </c>
      <c r="D22" s="11" t="s">
        <v>14</v>
      </c>
      <c r="E22" s="11" t="s">
        <v>14</v>
      </c>
      <c r="F22">
        <v>-2E-3</v>
      </c>
    </row>
    <row r="23" spans="1:6" x14ac:dyDescent="0.25">
      <c r="A23" s="11" t="s">
        <v>651</v>
      </c>
      <c r="B23" s="11" t="s">
        <v>14</v>
      </c>
      <c r="C23" s="11" t="s">
        <v>14</v>
      </c>
      <c r="D23">
        <v>4.7E-2</v>
      </c>
    </row>
    <row r="24" spans="1:6" x14ac:dyDescent="0.25">
      <c r="A24" s="11" t="s">
        <v>162</v>
      </c>
    </row>
    <row r="25" spans="1:6" x14ac:dyDescent="0.25">
      <c r="A25" s="11" t="s">
        <v>14</v>
      </c>
      <c r="B25" s="11" t="s">
        <v>759</v>
      </c>
      <c r="C25" s="11" t="s">
        <v>760</v>
      </c>
      <c r="D25">
        <v>1017</v>
      </c>
      <c r="E25">
        <v>90.08</v>
      </c>
      <c r="F25">
        <v>91611.36</v>
      </c>
    </row>
    <row r="26" spans="1:6" x14ac:dyDescent="0.25">
      <c r="A26" s="11" t="s">
        <v>14</v>
      </c>
      <c r="B26" s="11" t="s">
        <v>761</v>
      </c>
      <c r="C26" s="11" t="s">
        <v>626</v>
      </c>
      <c r="D26">
        <v>2562</v>
      </c>
      <c r="E26">
        <v>90.08</v>
      </c>
      <c r="F26">
        <v>230784.96</v>
      </c>
    </row>
    <row r="27" spans="1:6" x14ac:dyDescent="0.25">
      <c r="A27" s="11" t="s">
        <v>14</v>
      </c>
      <c r="B27" s="11" t="s">
        <v>762</v>
      </c>
      <c r="C27" s="11" t="s">
        <v>763</v>
      </c>
      <c r="D27">
        <v>2413</v>
      </c>
      <c r="E27">
        <v>90.08</v>
      </c>
      <c r="F27">
        <v>217363.04</v>
      </c>
    </row>
    <row r="28" spans="1:6" x14ac:dyDescent="0.25">
      <c r="A28" s="11" t="s">
        <v>14</v>
      </c>
      <c r="B28" s="11" t="s">
        <v>764</v>
      </c>
      <c r="C28" s="11" t="s">
        <v>765</v>
      </c>
      <c r="D28">
        <v>2413</v>
      </c>
      <c r="E28">
        <v>90.08</v>
      </c>
      <c r="F28">
        <v>217363.04</v>
      </c>
    </row>
    <row r="29" spans="1:6" x14ac:dyDescent="0.25">
      <c r="A29" s="11" t="s">
        <v>14</v>
      </c>
      <c r="B29" s="11" t="s">
        <v>766</v>
      </c>
      <c r="C29" s="11" t="s">
        <v>767</v>
      </c>
      <c r="D29">
        <v>1622</v>
      </c>
      <c r="E29">
        <v>90.08</v>
      </c>
      <c r="F29">
        <v>146109.76000000001</v>
      </c>
    </row>
    <row r="30" spans="1:6" x14ac:dyDescent="0.25">
      <c r="A30" s="11" t="s">
        <v>14</v>
      </c>
      <c r="B30" s="11" t="s">
        <v>768</v>
      </c>
      <c r="C30" s="11" t="s">
        <v>763</v>
      </c>
      <c r="D30">
        <v>-2413</v>
      </c>
      <c r="E30">
        <v>90.08</v>
      </c>
      <c r="F30">
        <v>-217363.04</v>
      </c>
    </row>
    <row r="31" spans="1:6" x14ac:dyDescent="0.25">
      <c r="A31" s="11" t="s">
        <v>167</v>
      </c>
      <c r="B31">
        <v>7614</v>
      </c>
      <c r="C31">
        <v>90.08</v>
      </c>
      <c r="D31">
        <v>685869.12</v>
      </c>
    </row>
    <row r="32" spans="1:6" x14ac:dyDescent="0.25">
      <c r="A32" s="11" t="s">
        <v>168</v>
      </c>
    </row>
    <row r="33" spans="1:6" x14ac:dyDescent="0.25">
      <c r="A33" s="11" t="s">
        <v>14</v>
      </c>
      <c r="B33" s="11" t="s">
        <v>759</v>
      </c>
      <c r="C33" s="11" t="s">
        <v>760</v>
      </c>
      <c r="D33">
        <v>97</v>
      </c>
      <c r="E33">
        <v>75.31</v>
      </c>
      <c r="F33">
        <v>7305.07</v>
      </c>
    </row>
    <row r="34" spans="1:6" x14ac:dyDescent="0.25">
      <c r="A34" s="11" t="s">
        <v>14</v>
      </c>
      <c r="B34" s="11" t="s">
        <v>769</v>
      </c>
      <c r="C34" s="11" t="s">
        <v>626</v>
      </c>
      <c r="D34">
        <v>943</v>
      </c>
      <c r="E34">
        <v>75.31</v>
      </c>
      <c r="F34">
        <v>71017.33</v>
      </c>
    </row>
    <row r="35" spans="1:6" x14ac:dyDescent="0.25">
      <c r="A35" s="11" t="s">
        <v>14</v>
      </c>
      <c r="B35" s="11" t="s">
        <v>770</v>
      </c>
      <c r="C35" s="11" t="s">
        <v>765</v>
      </c>
      <c r="D35">
        <v>1078</v>
      </c>
      <c r="E35">
        <v>75.31</v>
      </c>
      <c r="F35">
        <v>81184.179999999993</v>
      </c>
    </row>
    <row r="36" spans="1:6" x14ac:dyDescent="0.25">
      <c r="A36" s="11" t="s">
        <v>14</v>
      </c>
      <c r="B36" s="11" t="s">
        <v>771</v>
      </c>
      <c r="C36" s="11" t="s">
        <v>767</v>
      </c>
      <c r="D36">
        <v>174</v>
      </c>
      <c r="E36">
        <v>75.31</v>
      </c>
      <c r="F36">
        <v>13103.94</v>
      </c>
    </row>
    <row r="37" spans="1:6" x14ac:dyDescent="0.25">
      <c r="A37" s="11" t="s">
        <v>14</v>
      </c>
      <c r="B37" s="11" t="s">
        <v>772</v>
      </c>
      <c r="C37" s="11" t="s">
        <v>773</v>
      </c>
      <c r="D37">
        <v>360</v>
      </c>
      <c r="E37">
        <v>75.31</v>
      </c>
      <c r="F37">
        <v>27111.599999999999</v>
      </c>
    </row>
    <row r="38" spans="1:6" x14ac:dyDescent="0.25">
      <c r="A38" s="11" t="s">
        <v>169</v>
      </c>
      <c r="B38">
        <v>2652</v>
      </c>
      <c r="C38">
        <v>75.31</v>
      </c>
      <c r="D38">
        <v>199722.12</v>
      </c>
    </row>
    <row r="39" spans="1:6" x14ac:dyDescent="0.25">
      <c r="A39" s="11" t="s">
        <v>170</v>
      </c>
    </row>
    <row r="40" spans="1:6" x14ac:dyDescent="0.25">
      <c r="A40" s="11" t="s">
        <v>14</v>
      </c>
      <c r="B40" s="11" t="s">
        <v>759</v>
      </c>
      <c r="C40" s="11" t="s">
        <v>760</v>
      </c>
      <c r="D40">
        <v>590</v>
      </c>
      <c r="E40">
        <v>93.58</v>
      </c>
      <c r="F40">
        <v>55212.2</v>
      </c>
    </row>
    <row r="41" spans="1:6" x14ac:dyDescent="0.25">
      <c r="A41" s="11" t="s">
        <v>14</v>
      </c>
      <c r="B41" s="11" t="s">
        <v>774</v>
      </c>
      <c r="C41" s="11" t="s">
        <v>626</v>
      </c>
      <c r="D41">
        <v>2197</v>
      </c>
      <c r="E41">
        <v>93.58</v>
      </c>
      <c r="F41">
        <v>205595.26</v>
      </c>
    </row>
    <row r="42" spans="1:6" x14ac:dyDescent="0.25">
      <c r="A42" s="11" t="s">
        <v>14</v>
      </c>
      <c r="B42" s="11" t="s">
        <v>775</v>
      </c>
      <c r="C42" s="11" t="s">
        <v>765</v>
      </c>
      <c r="D42">
        <v>3296</v>
      </c>
      <c r="E42">
        <v>93.58</v>
      </c>
      <c r="F42">
        <v>308439.67999999999</v>
      </c>
    </row>
    <row r="43" spans="1:6" x14ac:dyDescent="0.25">
      <c r="A43" s="11" t="s">
        <v>14</v>
      </c>
      <c r="B43" s="11" t="s">
        <v>776</v>
      </c>
      <c r="C43" s="11" t="s">
        <v>767</v>
      </c>
      <c r="D43">
        <v>844</v>
      </c>
      <c r="E43">
        <v>93.58</v>
      </c>
      <c r="F43">
        <v>78981.52</v>
      </c>
    </row>
    <row r="44" spans="1:6" x14ac:dyDescent="0.25">
      <c r="A44" s="11" t="s">
        <v>14</v>
      </c>
      <c r="B44" s="11" t="s">
        <v>777</v>
      </c>
      <c r="C44" s="11" t="s">
        <v>773</v>
      </c>
      <c r="D44">
        <v>581</v>
      </c>
      <c r="E44">
        <v>93.58</v>
      </c>
      <c r="F44">
        <v>54369.98</v>
      </c>
    </row>
    <row r="45" spans="1:6" x14ac:dyDescent="0.25">
      <c r="A45" s="11" t="s">
        <v>14</v>
      </c>
      <c r="B45" s="11" t="s">
        <v>742</v>
      </c>
      <c r="C45" s="11" t="s">
        <v>743</v>
      </c>
      <c r="D45">
        <v>734</v>
      </c>
      <c r="E45">
        <v>93.58</v>
      </c>
      <c r="F45">
        <v>68687.72</v>
      </c>
    </row>
    <row r="46" spans="1:6" x14ac:dyDescent="0.25">
      <c r="A46" s="11" t="s">
        <v>171</v>
      </c>
      <c r="B46">
        <v>8242</v>
      </c>
      <c r="C46">
        <v>93.58</v>
      </c>
      <c r="D46">
        <v>771286.36</v>
      </c>
    </row>
    <row r="47" spans="1:6" x14ac:dyDescent="0.25">
      <c r="A47" s="11" t="s">
        <v>778</v>
      </c>
    </row>
    <row r="48" spans="1:6" x14ac:dyDescent="0.25">
      <c r="A48" s="11" t="s">
        <v>14</v>
      </c>
      <c r="B48" s="11" t="s">
        <v>779</v>
      </c>
      <c r="C48" s="11" t="s">
        <v>662</v>
      </c>
      <c r="D48">
        <v>1681</v>
      </c>
      <c r="E48">
        <v>0.75</v>
      </c>
      <c r="F48">
        <v>1260.75</v>
      </c>
    </row>
    <row r="49" spans="1:6" x14ac:dyDescent="0.25">
      <c r="A49" s="11" t="s">
        <v>14</v>
      </c>
      <c r="B49" s="11" t="s">
        <v>780</v>
      </c>
      <c r="C49" s="11" t="s">
        <v>781</v>
      </c>
      <c r="D49">
        <v>293</v>
      </c>
      <c r="E49">
        <v>0.75</v>
      </c>
      <c r="F49">
        <v>219.75</v>
      </c>
    </row>
    <row r="50" spans="1:6" x14ac:dyDescent="0.25">
      <c r="A50" s="11" t="s">
        <v>14</v>
      </c>
      <c r="B50" s="11" t="s">
        <v>759</v>
      </c>
      <c r="C50" s="11" t="s">
        <v>760</v>
      </c>
      <c r="D50">
        <v>1704</v>
      </c>
      <c r="E50">
        <v>0.75</v>
      </c>
      <c r="F50">
        <v>1278</v>
      </c>
    </row>
    <row r="51" spans="1:6" x14ac:dyDescent="0.25">
      <c r="A51" s="11" t="s">
        <v>14</v>
      </c>
      <c r="B51" s="11" t="s">
        <v>782</v>
      </c>
      <c r="C51" s="11" t="s">
        <v>658</v>
      </c>
      <c r="D51">
        <v>570</v>
      </c>
      <c r="E51">
        <v>0.75</v>
      </c>
      <c r="F51">
        <v>427.5</v>
      </c>
    </row>
    <row r="52" spans="1:6" x14ac:dyDescent="0.25">
      <c r="A52" s="11" t="s">
        <v>14</v>
      </c>
      <c r="B52" s="11" t="s">
        <v>783</v>
      </c>
      <c r="C52" s="11" t="s">
        <v>715</v>
      </c>
      <c r="D52">
        <v>1154</v>
      </c>
      <c r="E52">
        <v>0.75</v>
      </c>
      <c r="F52">
        <v>865.5</v>
      </c>
    </row>
    <row r="53" spans="1:6" x14ac:dyDescent="0.25">
      <c r="A53" s="11" t="s">
        <v>14</v>
      </c>
      <c r="B53" s="11" t="s">
        <v>784</v>
      </c>
      <c r="C53" s="11" t="s">
        <v>660</v>
      </c>
      <c r="D53">
        <v>1967</v>
      </c>
      <c r="E53">
        <v>0.75</v>
      </c>
      <c r="F53">
        <v>1475.25</v>
      </c>
    </row>
    <row r="54" spans="1:6" x14ac:dyDescent="0.25">
      <c r="A54" s="11" t="s">
        <v>14</v>
      </c>
      <c r="B54" s="11" t="s">
        <v>761</v>
      </c>
      <c r="C54" s="11" t="s">
        <v>626</v>
      </c>
      <c r="D54">
        <v>2562</v>
      </c>
      <c r="E54">
        <v>0.75</v>
      </c>
      <c r="F54">
        <v>1921.5</v>
      </c>
    </row>
    <row r="55" spans="1:6" x14ac:dyDescent="0.25">
      <c r="A55" s="11" t="s">
        <v>14</v>
      </c>
      <c r="B55" s="11" t="s">
        <v>769</v>
      </c>
      <c r="C55" s="11" t="s">
        <v>626</v>
      </c>
      <c r="D55">
        <v>943</v>
      </c>
      <c r="E55">
        <v>0.75</v>
      </c>
      <c r="F55">
        <v>707.25</v>
      </c>
    </row>
    <row r="56" spans="1:6" x14ac:dyDescent="0.25">
      <c r="A56" s="11" t="s">
        <v>14</v>
      </c>
      <c r="B56" s="11" t="s">
        <v>774</v>
      </c>
      <c r="C56" s="11" t="s">
        <v>626</v>
      </c>
      <c r="D56">
        <v>2197</v>
      </c>
      <c r="E56">
        <v>0.75</v>
      </c>
      <c r="F56">
        <v>1647.75</v>
      </c>
    </row>
    <row r="57" spans="1:6" x14ac:dyDescent="0.25">
      <c r="A57" s="11" t="s">
        <v>14</v>
      </c>
      <c r="B57" s="11" t="s">
        <v>785</v>
      </c>
      <c r="C57" s="11" t="s">
        <v>626</v>
      </c>
      <c r="D57">
        <v>366</v>
      </c>
      <c r="E57">
        <v>0.75</v>
      </c>
      <c r="F57">
        <v>274.5</v>
      </c>
    </row>
    <row r="58" spans="1:6" x14ac:dyDescent="0.25">
      <c r="A58" s="11" t="s">
        <v>14</v>
      </c>
      <c r="B58" s="11" t="s">
        <v>786</v>
      </c>
      <c r="C58" s="11" t="s">
        <v>765</v>
      </c>
      <c r="D58">
        <v>367</v>
      </c>
      <c r="E58">
        <v>0.75</v>
      </c>
      <c r="F58">
        <v>275.25</v>
      </c>
    </row>
    <row r="59" spans="1:6" x14ac:dyDescent="0.25">
      <c r="A59" s="11" t="s">
        <v>14</v>
      </c>
      <c r="B59" s="11" t="s">
        <v>762</v>
      </c>
      <c r="C59" s="11" t="s">
        <v>763</v>
      </c>
      <c r="D59">
        <v>2413</v>
      </c>
      <c r="E59">
        <v>0.75</v>
      </c>
      <c r="F59">
        <v>1809.75</v>
      </c>
    </row>
    <row r="60" spans="1:6" x14ac:dyDescent="0.25">
      <c r="A60" s="11" t="s">
        <v>14</v>
      </c>
      <c r="B60" s="11" t="s">
        <v>775</v>
      </c>
      <c r="C60" s="11" t="s">
        <v>765</v>
      </c>
      <c r="D60">
        <v>3296</v>
      </c>
      <c r="E60">
        <v>0.75</v>
      </c>
      <c r="F60">
        <v>2472</v>
      </c>
    </row>
    <row r="61" spans="1:6" x14ac:dyDescent="0.25">
      <c r="A61" s="11" t="s">
        <v>14</v>
      </c>
      <c r="B61" s="11" t="s">
        <v>770</v>
      </c>
      <c r="C61" s="11" t="s">
        <v>765</v>
      </c>
      <c r="D61">
        <v>1078</v>
      </c>
      <c r="E61">
        <v>0.75</v>
      </c>
      <c r="F61">
        <v>808.5</v>
      </c>
    </row>
    <row r="62" spans="1:6" x14ac:dyDescent="0.25">
      <c r="A62" s="11" t="s">
        <v>14</v>
      </c>
      <c r="B62" s="11" t="s">
        <v>764</v>
      </c>
      <c r="C62" s="11" t="s">
        <v>765</v>
      </c>
      <c r="D62">
        <v>2413</v>
      </c>
      <c r="E62">
        <v>0.75</v>
      </c>
      <c r="F62">
        <v>1809.75</v>
      </c>
    </row>
    <row r="63" spans="1:6" x14ac:dyDescent="0.25">
      <c r="A63" s="11" t="s">
        <v>14</v>
      </c>
      <c r="B63" s="11" t="s">
        <v>766</v>
      </c>
      <c r="C63" s="11" t="s">
        <v>767</v>
      </c>
      <c r="D63">
        <v>1622</v>
      </c>
      <c r="E63">
        <v>0.75</v>
      </c>
      <c r="F63">
        <v>1216.5</v>
      </c>
    </row>
    <row r="64" spans="1:6" x14ac:dyDescent="0.25">
      <c r="A64" s="11" t="s">
        <v>14</v>
      </c>
      <c r="B64" s="11" t="s">
        <v>776</v>
      </c>
      <c r="C64" s="11" t="s">
        <v>767</v>
      </c>
      <c r="D64">
        <v>844</v>
      </c>
      <c r="E64">
        <v>0.75</v>
      </c>
      <c r="F64">
        <v>633</v>
      </c>
    </row>
    <row r="65" spans="1:6" x14ac:dyDescent="0.25">
      <c r="A65" s="11" t="s">
        <v>14</v>
      </c>
      <c r="B65" s="11" t="s">
        <v>771</v>
      </c>
      <c r="C65" s="11" t="s">
        <v>767</v>
      </c>
      <c r="D65">
        <v>174</v>
      </c>
      <c r="E65">
        <v>0.75</v>
      </c>
      <c r="F65">
        <v>130.5</v>
      </c>
    </row>
    <row r="66" spans="1:6" x14ac:dyDescent="0.25">
      <c r="A66" s="11" t="s">
        <v>14</v>
      </c>
      <c r="B66" s="11" t="s">
        <v>772</v>
      </c>
      <c r="C66" s="11" t="s">
        <v>773</v>
      </c>
      <c r="D66">
        <v>360</v>
      </c>
      <c r="E66">
        <v>0.75</v>
      </c>
      <c r="F66">
        <v>270</v>
      </c>
    </row>
    <row r="67" spans="1:6" x14ac:dyDescent="0.25">
      <c r="A67" s="11" t="s">
        <v>14</v>
      </c>
      <c r="B67" s="11" t="s">
        <v>777</v>
      </c>
      <c r="C67" s="11" t="s">
        <v>773</v>
      </c>
      <c r="D67">
        <v>581</v>
      </c>
      <c r="E67">
        <v>0.75</v>
      </c>
      <c r="F67">
        <v>435.75</v>
      </c>
    </row>
    <row r="68" spans="1:6" x14ac:dyDescent="0.25">
      <c r="A68" s="11" t="s">
        <v>14</v>
      </c>
      <c r="B68" s="11" t="s">
        <v>787</v>
      </c>
      <c r="C68" s="11" t="s">
        <v>788</v>
      </c>
      <c r="D68">
        <v>578</v>
      </c>
      <c r="E68">
        <v>0.75</v>
      </c>
      <c r="F68">
        <v>433.5</v>
      </c>
    </row>
    <row r="69" spans="1:6" x14ac:dyDescent="0.25">
      <c r="A69" s="11" t="s">
        <v>14</v>
      </c>
      <c r="B69" s="11" t="s">
        <v>789</v>
      </c>
      <c r="C69" s="11" t="s">
        <v>788</v>
      </c>
      <c r="D69">
        <v>551</v>
      </c>
      <c r="E69">
        <v>0.75</v>
      </c>
      <c r="F69">
        <v>413.25</v>
      </c>
    </row>
    <row r="70" spans="1:6" x14ac:dyDescent="0.25">
      <c r="A70" s="11" t="s">
        <v>14</v>
      </c>
      <c r="B70" s="11" t="s">
        <v>742</v>
      </c>
      <c r="C70" s="11" t="s">
        <v>743</v>
      </c>
      <c r="D70">
        <v>734</v>
      </c>
      <c r="E70">
        <v>0.75</v>
      </c>
      <c r="F70">
        <v>550.5</v>
      </c>
    </row>
    <row r="71" spans="1:6" x14ac:dyDescent="0.25">
      <c r="A71" s="11" t="s">
        <v>14</v>
      </c>
      <c r="B71" s="11" t="s">
        <v>744</v>
      </c>
      <c r="C71" s="11" t="s">
        <v>699</v>
      </c>
      <c r="D71">
        <v>1307</v>
      </c>
      <c r="E71">
        <v>0.75</v>
      </c>
      <c r="F71">
        <v>980.25</v>
      </c>
    </row>
    <row r="72" spans="1:6" x14ac:dyDescent="0.25">
      <c r="A72" s="11" t="s">
        <v>14</v>
      </c>
      <c r="B72" s="11" t="s">
        <v>745</v>
      </c>
      <c r="C72" s="11" t="s">
        <v>746</v>
      </c>
      <c r="D72">
        <v>1866</v>
      </c>
      <c r="E72">
        <v>0.75</v>
      </c>
      <c r="F72">
        <v>1399.5</v>
      </c>
    </row>
    <row r="73" spans="1:6" x14ac:dyDescent="0.25">
      <c r="A73" s="11" t="s">
        <v>14</v>
      </c>
      <c r="B73" s="11" t="s">
        <v>747</v>
      </c>
      <c r="C73" s="11" t="s">
        <v>748</v>
      </c>
      <c r="D73">
        <v>573</v>
      </c>
      <c r="E73">
        <v>0.75</v>
      </c>
      <c r="F73">
        <v>429.75</v>
      </c>
    </row>
    <row r="74" spans="1:6" x14ac:dyDescent="0.25">
      <c r="A74" s="11" t="s">
        <v>14</v>
      </c>
      <c r="B74" s="11" t="s">
        <v>749</v>
      </c>
      <c r="C74" s="11" t="s">
        <v>633</v>
      </c>
      <c r="D74">
        <v>637</v>
      </c>
      <c r="E74">
        <v>0.75</v>
      </c>
      <c r="F74">
        <v>477.75</v>
      </c>
    </row>
    <row r="75" spans="1:6" x14ac:dyDescent="0.25">
      <c r="A75" s="11" t="s">
        <v>14</v>
      </c>
      <c r="B75" s="11" t="s">
        <v>750</v>
      </c>
      <c r="C75" s="11" t="s">
        <v>633</v>
      </c>
      <c r="D75">
        <v>647</v>
      </c>
      <c r="E75">
        <v>0.75</v>
      </c>
      <c r="F75">
        <v>485.25</v>
      </c>
    </row>
    <row r="76" spans="1:6" x14ac:dyDescent="0.25">
      <c r="A76" s="11" t="s">
        <v>14</v>
      </c>
      <c r="B76" s="11" t="s">
        <v>751</v>
      </c>
      <c r="C76" s="11" t="s">
        <v>633</v>
      </c>
      <c r="D76">
        <v>1135</v>
      </c>
      <c r="E76">
        <v>0.75</v>
      </c>
      <c r="F76">
        <v>851.25</v>
      </c>
    </row>
    <row r="77" spans="1:6" x14ac:dyDescent="0.25">
      <c r="A77" s="11" t="s">
        <v>14</v>
      </c>
      <c r="B77" s="11" t="s">
        <v>752</v>
      </c>
      <c r="C77" s="11" t="s">
        <v>753</v>
      </c>
      <c r="D77">
        <v>704</v>
      </c>
      <c r="E77">
        <v>0.75</v>
      </c>
      <c r="F77">
        <v>528</v>
      </c>
    </row>
    <row r="78" spans="1:6" x14ac:dyDescent="0.25">
      <c r="A78" s="11" t="s">
        <v>14</v>
      </c>
      <c r="B78" s="11" t="s">
        <v>754</v>
      </c>
      <c r="C78" s="11" t="s">
        <v>635</v>
      </c>
      <c r="D78">
        <v>2080</v>
      </c>
      <c r="E78">
        <v>0.75</v>
      </c>
      <c r="F78">
        <v>1560</v>
      </c>
    </row>
    <row r="79" spans="1:6" x14ac:dyDescent="0.25">
      <c r="A79" s="11" t="s">
        <v>14</v>
      </c>
      <c r="B79" s="11" t="s">
        <v>755</v>
      </c>
      <c r="C79" s="11" t="s">
        <v>756</v>
      </c>
      <c r="D79">
        <v>1351</v>
      </c>
      <c r="E79">
        <v>0.75</v>
      </c>
      <c r="F79">
        <v>1013.25</v>
      </c>
    </row>
    <row r="80" spans="1:6" x14ac:dyDescent="0.25">
      <c r="A80" s="11" t="s">
        <v>14</v>
      </c>
      <c r="B80" s="11" t="s">
        <v>757</v>
      </c>
      <c r="C80" s="11" t="s">
        <v>686</v>
      </c>
      <c r="D80">
        <v>895</v>
      </c>
      <c r="E80">
        <v>0.75</v>
      </c>
      <c r="F80">
        <v>671.25</v>
      </c>
    </row>
    <row r="81" spans="1:6" x14ac:dyDescent="0.25">
      <c r="A81" s="11" t="s">
        <v>14</v>
      </c>
      <c r="B81" s="11" t="s">
        <v>768</v>
      </c>
      <c r="C81" s="11" t="s">
        <v>763</v>
      </c>
      <c r="D81">
        <v>-2413</v>
      </c>
      <c r="E81">
        <v>0.75</v>
      </c>
      <c r="F81">
        <v>-1809.75</v>
      </c>
    </row>
    <row r="82" spans="1:6" x14ac:dyDescent="0.25">
      <c r="A82" s="11" t="s">
        <v>14</v>
      </c>
      <c r="B82" s="11" t="s">
        <v>758</v>
      </c>
      <c r="C82" s="11" t="s">
        <v>748</v>
      </c>
      <c r="D82">
        <v>-3</v>
      </c>
      <c r="E82">
        <v>0.75</v>
      </c>
      <c r="F82">
        <v>-2.25</v>
      </c>
    </row>
    <row r="83" spans="1:6" x14ac:dyDescent="0.25">
      <c r="A83" s="11" t="s">
        <v>790</v>
      </c>
      <c r="B83">
        <v>37227</v>
      </c>
      <c r="C83">
        <v>0.75</v>
      </c>
      <c r="D83">
        <v>27920.25</v>
      </c>
    </row>
    <row r="84" spans="1:6" x14ac:dyDescent="0.25">
      <c r="A84" s="11" t="s">
        <v>791</v>
      </c>
    </row>
    <row r="85" spans="1:6" x14ac:dyDescent="0.25">
      <c r="A85" s="11" t="s">
        <v>14</v>
      </c>
      <c r="B85" s="11" t="s">
        <v>779</v>
      </c>
      <c r="C85" s="11" t="s">
        <v>662</v>
      </c>
      <c r="D85">
        <v>184</v>
      </c>
      <c r="E85">
        <v>76</v>
      </c>
      <c r="F85">
        <v>13984</v>
      </c>
    </row>
    <row r="86" spans="1:6" x14ac:dyDescent="0.25">
      <c r="A86" s="11" t="s">
        <v>14</v>
      </c>
      <c r="B86" s="11" t="s">
        <v>783</v>
      </c>
      <c r="C86" s="11" t="s">
        <v>715</v>
      </c>
      <c r="D86">
        <v>298</v>
      </c>
      <c r="E86">
        <v>76</v>
      </c>
      <c r="F86">
        <v>22648</v>
      </c>
    </row>
    <row r="87" spans="1:6" x14ac:dyDescent="0.25">
      <c r="A87" s="11" t="s">
        <v>14</v>
      </c>
      <c r="B87" s="11" t="s">
        <v>785</v>
      </c>
      <c r="C87" s="11" t="s">
        <v>626</v>
      </c>
      <c r="D87">
        <v>366</v>
      </c>
      <c r="E87">
        <v>76</v>
      </c>
      <c r="F87">
        <v>27816</v>
      </c>
    </row>
    <row r="88" spans="1:6" x14ac:dyDescent="0.25">
      <c r="A88" s="11" t="s">
        <v>14</v>
      </c>
      <c r="B88" s="11" t="s">
        <v>786</v>
      </c>
      <c r="C88" s="11" t="s">
        <v>765</v>
      </c>
      <c r="D88">
        <v>367</v>
      </c>
      <c r="E88">
        <v>76</v>
      </c>
      <c r="F88">
        <v>27892</v>
      </c>
    </row>
    <row r="89" spans="1:6" x14ac:dyDescent="0.25">
      <c r="A89" s="11" t="s">
        <v>14</v>
      </c>
      <c r="B89" s="11" t="s">
        <v>754</v>
      </c>
      <c r="C89" s="11" t="s">
        <v>635</v>
      </c>
      <c r="D89">
        <v>1411</v>
      </c>
      <c r="E89">
        <v>87.49</v>
      </c>
      <c r="F89">
        <v>123448.39</v>
      </c>
    </row>
    <row r="90" spans="1:6" x14ac:dyDescent="0.25">
      <c r="A90" s="11" t="s">
        <v>792</v>
      </c>
      <c r="B90">
        <v>2626</v>
      </c>
      <c r="C90">
        <v>82.173796648895703</v>
      </c>
      <c r="D90">
        <v>215788.39</v>
      </c>
    </row>
    <row r="91" spans="1:6" x14ac:dyDescent="0.25">
      <c r="A91" s="11" t="s">
        <v>282</v>
      </c>
    </row>
    <row r="92" spans="1:6" x14ac:dyDescent="0.25">
      <c r="A92" s="11" t="s">
        <v>14</v>
      </c>
      <c r="B92" s="11" t="s">
        <v>779</v>
      </c>
      <c r="C92" s="11" t="s">
        <v>662</v>
      </c>
      <c r="D92">
        <v>1497</v>
      </c>
      <c r="E92">
        <v>79.22</v>
      </c>
      <c r="F92">
        <v>118592.34</v>
      </c>
    </row>
    <row r="93" spans="1:6" x14ac:dyDescent="0.25">
      <c r="A93" s="11" t="s">
        <v>14</v>
      </c>
      <c r="B93" s="11" t="s">
        <v>780</v>
      </c>
      <c r="C93" s="11" t="s">
        <v>781</v>
      </c>
      <c r="D93">
        <v>293</v>
      </c>
      <c r="E93">
        <v>79.22</v>
      </c>
      <c r="F93">
        <v>23211.46</v>
      </c>
    </row>
    <row r="94" spans="1:6" x14ac:dyDescent="0.25">
      <c r="A94" s="11" t="s">
        <v>14</v>
      </c>
      <c r="B94" s="11" t="s">
        <v>783</v>
      </c>
      <c r="C94" s="11" t="s">
        <v>715</v>
      </c>
      <c r="D94">
        <v>856</v>
      </c>
      <c r="E94">
        <v>79.22</v>
      </c>
      <c r="F94">
        <v>67812.320000000007</v>
      </c>
    </row>
    <row r="95" spans="1:6" x14ac:dyDescent="0.25">
      <c r="A95" s="11" t="s">
        <v>14</v>
      </c>
      <c r="B95" s="11" t="s">
        <v>784</v>
      </c>
      <c r="C95" s="11" t="s">
        <v>660</v>
      </c>
      <c r="D95">
        <v>1967</v>
      </c>
      <c r="E95">
        <v>79.22</v>
      </c>
      <c r="F95">
        <v>155825.74</v>
      </c>
    </row>
    <row r="96" spans="1:6" x14ac:dyDescent="0.25">
      <c r="A96" s="11" t="s">
        <v>14</v>
      </c>
      <c r="B96" s="11" t="s">
        <v>754</v>
      </c>
      <c r="C96" s="11" t="s">
        <v>635</v>
      </c>
      <c r="D96">
        <v>669</v>
      </c>
      <c r="E96">
        <v>89.89</v>
      </c>
      <c r="F96">
        <v>60136.41</v>
      </c>
    </row>
    <row r="97" spans="1:6" x14ac:dyDescent="0.25">
      <c r="A97" s="11" t="s">
        <v>14</v>
      </c>
      <c r="B97" s="11" t="s">
        <v>755</v>
      </c>
      <c r="C97" s="11" t="s">
        <v>756</v>
      </c>
      <c r="D97">
        <v>1351</v>
      </c>
      <c r="E97">
        <v>89.89</v>
      </c>
      <c r="F97">
        <v>121441.39</v>
      </c>
    </row>
    <row r="98" spans="1:6" x14ac:dyDescent="0.25">
      <c r="A98" s="11" t="s">
        <v>14</v>
      </c>
      <c r="B98" s="11" t="s">
        <v>757</v>
      </c>
      <c r="C98" s="11" t="s">
        <v>686</v>
      </c>
      <c r="D98">
        <v>895</v>
      </c>
      <c r="E98">
        <v>89.89</v>
      </c>
      <c r="F98">
        <v>80451.55</v>
      </c>
    </row>
    <row r="99" spans="1:6" x14ac:dyDescent="0.25">
      <c r="A99" s="11" t="s">
        <v>284</v>
      </c>
      <c r="B99">
        <v>7528</v>
      </c>
      <c r="C99">
        <v>83.351648512221004</v>
      </c>
      <c r="D99">
        <v>627471.21</v>
      </c>
    </row>
    <row r="100" spans="1:6" x14ac:dyDescent="0.25">
      <c r="A100" s="11" t="s">
        <v>793</v>
      </c>
    </row>
    <row r="101" spans="1:6" x14ac:dyDescent="0.25">
      <c r="A101" s="11" t="s">
        <v>14</v>
      </c>
      <c r="B101" s="11" t="s">
        <v>794</v>
      </c>
      <c r="C101" s="11" t="s">
        <v>721</v>
      </c>
      <c r="D101">
        <v>7</v>
      </c>
      <c r="E101">
        <v>8368</v>
      </c>
      <c r="F101">
        <v>58576</v>
      </c>
    </row>
    <row r="102" spans="1:6" x14ac:dyDescent="0.25">
      <c r="A102" s="11" t="s">
        <v>14</v>
      </c>
      <c r="B102" s="11" t="s">
        <v>794</v>
      </c>
      <c r="C102" s="11" t="s">
        <v>721</v>
      </c>
      <c r="D102">
        <v>8</v>
      </c>
      <c r="E102">
        <v>8368</v>
      </c>
      <c r="F102">
        <v>66944</v>
      </c>
    </row>
    <row r="103" spans="1:6" x14ac:dyDescent="0.25">
      <c r="A103" s="11" t="s">
        <v>14</v>
      </c>
      <c r="B103" s="11" t="s">
        <v>794</v>
      </c>
      <c r="C103" s="11" t="s">
        <v>721</v>
      </c>
      <c r="D103">
        <v>8</v>
      </c>
      <c r="E103">
        <v>8368</v>
      </c>
      <c r="F103">
        <v>66944</v>
      </c>
    </row>
    <row r="104" spans="1:6" x14ac:dyDescent="0.25">
      <c r="A104" s="11" t="s">
        <v>14</v>
      </c>
      <c r="B104" s="11" t="s">
        <v>795</v>
      </c>
      <c r="C104" s="11" t="s">
        <v>796</v>
      </c>
      <c r="D104">
        <v>8</v>
      </c>
      <c r="E104">
        <v>4062</v>
      </c>
      <c r="F104">
        <v>32496</v>
      </c>
    </row>
    <row r="105" spans="1:6" x14ac:dyDescent="0.25">
      <c r="A105" s="11" t="s">
        <v>14</v>
      </c>
      <c r="B105" s="11" t="s">
        <v>795</v>
      </c>
      <c r="C105" s="11" t="s">
        <v>796</v>
      </c>
      <c r="D105">
        <v>7</v>
      </c>
      <c r="E105">
        <v>4062</v>
      </c>
      <c r="F105">
        <v>28434</v>
      </c>
    </row>
    <row r="106" spans="1:6" x14ac:dyDescent="0.25">
      <c r="A106" s="11" t="s">
        <v>14</v>
      </c>
      <c r="B106" s="11" t="s">
        <v>795</v>
      </c>
      <c r="C106" s="11" t="s">
        <v>796</v>
      </c>
      <c r="D106">
        <v>8</v>
      </c>
      <c r="E106">
        <v>4062</v>
      </c>
      <c r="F106">
        <v>32496</v>
      </c>
    </row>
    <row r="107" spans="1:6" x14ac:dyDescent="0.25">
      <c r="A107" s="11" t="s">
        <v>797</v>
      </c>
      <c r="B107">
        <v>46</v>
      </c>
      <c r="C107">
        <v>6215</v>
      </c>
      <c r="D107">
        <v>285890</v>
      </c>
    </row>
    <row r="108" spans="1:6" x14ac:dyDescent="0.25">
      <c r="A108" s="11" t="s">
        <v>798</v>
      </c>
    </row>
    <row r="109" spans="1:6" x14ac:dyDescent="0.25">
      <c r="A109" s="11" t="s">
        <v>14</v>
      </c>
      <c r="B109" s="11" t="s">
        <v>745</v>
      </c>
      <c r="C109" s="11" t="s">
        <v>746</v>
      </c>
      <c r="D109">
        <v>1866</v>
      </c>
      <c r="E109">
        <v>85.71</v>
      </c>
      <c r="F109">
        <v>159934.85999999999</v>
      </c>
    </row>
    <row r="110" spans="1:6" x14ac:dyDescent="0.25">
      <c r="A110" s="11" t="s">
        <v>14</v>
      </c>
      <c r="B110" s="11" t="s">
        <v>747</v>
      </c>
      <c r="C110" s="11" t="s">
        <v>748</v>
      </c>
      <c r="D110">
        <v>573</v>
      </c>
      <c r="E110">
        <v>85.71</v>
      </c>
      <c r="F110">
        <v>49111.83</v>
      </c>
    </row>
    <row r="111" spans="1:6" x14ac:dyDescent="0.25">
      <c r="A111" s="11" t="s">
        <v>14</v>
      </c>
      <c r="B111" s="11" t="s">
        <v>758</v>
      </c>
      <c r="C111" s="11" t="s">
        <v>748</v>
      </c>
      <c r="D111">
        <v>-3</v>
      </c>
      <c r="E111">
        <v>85.71</v>
      </c>
      <c r="F111">
        <v>-257.13</v>
      </c>
    </row>
    <row r="112" spans="1:6" x14ac:dyDescent="0.25">
      <c r="A112" s="11" t="s">
        <v>799</v>
      </c>
      <c r="B112">
        <v>2436</v>
      </c>
      <c r="C112">
        <v>85.71</v>
      </c>
      <c r="D112">
        <v>208789.56</v>
      </c>
    </row>
    <row r="113" spans="1:6" x14ac:dyDescent="0.25">
      <c r="A113" s="11" t="s">
        <v>800</v>
      </c>
    </row>
    <row r="114" spans="1:6" x14ac:dyDescent="0.25">
      <c r="A114" s="11" t="s">
        <v>14</v>
      </c>
      <c r="B114" s="11" t="s">
        <v>782</v>
      </c>
      <c r="C114" s="11" t="s">
        <v>658</v>
      </c>
      <c r="D114">
        <v>570</v>
      </c>
      <c r="E114">
        <v>109.53</v>
      </c>
      <c r="F114">
        <v>62432.1</v>
      </c>
    </row>
    <row r="115" spans="1:6" x14ac:dyDescent="0.25">
      <c r="A115" s="11" t="s">
        <v>801</v>
      </c>
      <c r="B115">
        <v>570</v>
      </c>
      <c r="C115">
        <v>109.53</v>
      </c>
      <c r="D115">
        <v>62432.1</v>
      </c>
    </row>
    <row r="116" spans="1:6" x14ac:dyDescent="0.25">
      <c r="A116" s="11" t="s">
        <v>802</v>
      </c>
    </row>
    <row r="117" spans="1:6" x14ac:dyDescent="0.25">
      <c r="A117" s="11" t="s">
        <v>14</v>
      </c>
      <c r="B117" s="11" t="s">
        <v>751</v>
      </c>
      <c r="C117" s="11" t="s">
        <v>633</v>
      </c>
      <c r="D117">
        <v>1135</v>
      </c>
      <c r="E117">
        <v>109.61</v>
      </c>
      <c r="F117">
        <v>124407.35</v>
      </c>
    </row>
    <row r="118" spans="1:6" x14ac:dyDescent="0.25">
      <c r="A118" s="11" t="s">
        <v>803</v>
      </c>
      <c r="B118">
        <v>1135</v>
      </c>
      <c r="C118">
        <v>109.61</v>
      </c>
      <c r="D118">
        <v>124407.35</v>
      </c>
    </row>
    <row r="119" spans="1:6" x14ac:dyDescent="0.25">
      <c r="A119" s="11" t="s">
        <v>804</v>
      </c>
    </row>
    <row r="120" spans="1:6" x14ac:dyDescent="0.25">
      <c r="A120" s="11" t="s">
        <v>14</v>
      </c>
      <c r="B120" s="11" t="s">
        <v>789</v>
      </c>
      <c r="C120" s="11" t="s">
        <v>788</v>
      </c>
      <c r="D120">
        <v>551</v>
      </c>
      <c r="E120">
        <v>109.61</v>
      </c>
      <c r="F120">
        <v>60395.11</v>
      </c>
    </row>
    <row r="121" spans="1:6" x14ac:dyDescent="0.25">
      <c r="A121" s="11" t="s">
        <v>805</v>
      </c>
      <c r="B121">
        <v>551</v>
      </c>
      <c r="C121">
        <v>109.61</v>
      </c>
      <c r="D121">
        <v>60395.11</v>
      </c>
    </row>
    <row r="122" spans="1:6" x14ac:dyDescent="0.25">
      <c r="A122" s="11" t="s">
        <v>806</v>
      </c>
    </row>
    <row r="123" spans="1:6" x14ac:dyDescent="0.25">
      <c r="A123" s="11" t="s">
        <v>14</v>
      </c>
      <c r="B123" s="11" t="s">
        <v>787</v>
      </c>
      <c r="C123" s="11" t="s">
        <v>788</v>
      </c>
      <c r="D123">
        <v>578</v>
      </c>
      <c r="E123">
        <v>109.61</v>
      </c>
      <c r="F123">
        <v>63354.58</v>
      </c>
    </row>
    <row r="124" spans="1:6" x14ac:dyDescent="0.25">
      <c r="A124" s="11" t="s">
        <v>807</v>
      </c>
      <c r="B124">
        <v>578</v>
      </c>
      <c r="C124">
        <v>109.61</v>
      </c>
      <c r="D124">
        <v>63354.58</v>
      </c>
    </row>
    <row r="125" spans="1:6" x14ac:dyDescent="0.25">
      <c r="A125" s="11" t="s">
        <v>808</v>
      </c>
    </row>
    <row r="126" spans="1:6" x14ac:dyDescent="0.25">
      <c r="A126" s="11" t="s">
        <v>14</v>
      </c>
      <c r="B126" s="11" t="s">
        <v>749</v>
      </c>
      <c r="C126" s="11" t="s">
        <v>633</v>
      </c>
      <c r="D126">
        <v>637</v>
      </c>
      <c r="E126">
        <v>143.49</v>
      </c>
      <c r="F126">
        <v>91403.13</v>
      </c>
    </row>
    <row r="127" spans="1:6" x14ac:dyDescent="0.25">
      <c r="A127" s="11" t="s">
        <v>809</v>
      </c>
      <c r="B127">
        <v>637</v>
      </c>
      <c r="C127">
        <v>143.49</v>
      </c>
      <c r="D127">
        <v>91403.13</v>
      </c>
    </row>
    <row r="128" spans="1:6" x14ac:dyDescent="0.25">
      <c r="A128" s="11" t="s">
        <v>810</v>
      </c>
    </row>
    <row r="129" spans="1:6" x14ac:dyDescent="0.25">
      <c r="A129" s="11" t="s">
        <v>14</v>
      </c>
      <c r="B129" s="11" t="s">
        <v>750</v>
      </c>
      <c r="C129" s="11" t="s">
        <v>633</v>
      </c>
      <c r="D129">
        <v>647</v>
      </c>
      <c r="E129">
        <v>143.49</v>
      </c>
      <c r="F129">
        <v>92838.03</v>
      </c>
    </row>
    <row r="130" spans="1:6" x14ac:dyDescent="0.25">
      <c r="A130" s="11" t="s">
        <v>811</v>
      </c>
      <c r="B130">
        <v>647</v>
      </c>
      <c r="C130">
        <v>143.49</v>
      </c>
      <c r="D130">
        <v>92838.03</v>
      </c>
    </row>
    <row r="131" spans="1:6" x14ac:dyDescent="0.25">
      <c r="A131" s="11" t="s">
        <v>812</v>
      </c>
    </row>
    <row r="132" spans="1:6" x14ac:dyDescent="0.25">
      <c r="A132" s="11" t="s">
        <v>14</v>
      </c>
      <c r="B132" s="11" t="s">
        <v>752</v>
      </c>
      <c r="C132" s="11" t="s">
        <v>753</v>
      </c>
      <c r="D132">
        <v>704</v>
      </c>
      <c r="E132">
        <v>143.49</v>
      </c>
      <c r="F132">
        <v>101016.96000000001</v>
      </c>
    </row>
    <row r="133" spans="1:6" x14ac:dyDescent="0.25">
      <c r="A133" s="11" t="s">
        <v>813</v>
      </c>
      <c r="B133">
        <v>704</v>
      </c>
      <c r="C133">
        <v>143.49</v>
      </c>
      <c r="D133">
        <v>101016.96000000001</v>
      </c>
    </row>
    <row r="134" spans="1:6" x14ac:dyDescent="0.25">
      <c r="A134" s="11" t="s">
        <v>814</v>
      </c>
    </row>
    <row r="135" spans="1:6" x14ac:dyDescent="0.25">
      <c r="A135" s="11" t="s">
        <v>14</v>
      </c>
      <c r="B135" s="11" t="s">
        <v>744</v>
      </c>
      <c r="C135" s="11" t="s">
        <v>699</v>
      </c>
      <c r="D135">
        <v>1307</v>
      </c>
      <c r="E135">
        <v>106.35</v>
      </c>
      <c r="F135">
        <v>138999.45000000001</v>
      </c>
    </row>
    <row r="136" spans="1:6" x14ac:dyDescent="0.25">
      <c r="A136" s="11" t="s">
        <v>815</v>
      </c>
      <c r="B136">
        <v>1307</v>
      </c>
      <c r="C136">
        <v>106.35</v>
      </c>
      <c r="D136">
        <v>138999.45000000001</v>
      </c>
    </row>
    <row r="137" spans="1:6" x14ac:dyDescent="0.25">
      <c r="A137" s="11" t="s">
        <v>816</v>
      </c>
      <c r="B137">
        <v>3757583.767</v>
      </c>
    </row>
    <row r="138" spans="1:6" x14ac:dyDescent="0.25">
      <c r="A138" s="11" t="s">
        <v>338</v>
      </c>
      <c r="B138" s="11" t="s">
        <v>14</v>
      </c>
      <c r="C138" s="11" t="s">
        <v>14</v>
      </c>
      <c r="D138">
        <v>3757583.767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1F9A-AF74-4EE3-9ACF-0C581AE1E0BD}">
  <dimension ref="A1:F226"/>
  <sheetViews>
    <sheetView workbookViewId="0">
      <selection activeCell="B25" sqref="B25"/>
    </sheetView>
  </sheetViews>
  <sheetFormatPr defaultRowHeight="15" x14ac:dyDescent="0.25"/>
  <cols>
    <col min="1" max="1" width="55.85546875" bestFit="1" customWidth="1"/>
    <col min="2" max="4" width="12" bestFit="1" customWidth="1"/>
    <col min="5" max="5" width="8.85546875" bestFit="1" customWidth="1"/>
    <col min="6" max="6" width="10.7109375" bestFit="1" customWidth="1"/>
  </cols>
  <sheetData>
    <row r="1" spans="1:6" x14ac:dyDescent="0.25">
      <c r="A1" t="s">
        <v>621</v>
      </c>
      <c r="B1" s="12">
        <f>SUM(B21,B30,B42,B53,B65,B72,B147,B150,B153,B179,B204,B217,B224)</f>
        <v>60832.5</v>
      </c>
    </row>
    <row r="2" spans="1:6" x14ac:dyDescent="0.25">
      <c r="A2" t="s">
        <v>342</v>
      </c>
      <c r="B2" s="12">
        <f>-B144</f>
        <v>-64061</v>
      </c>
    </row>
    <row r="3" spans="1:6" x14ac:dyDescent="0.25">
      <c r="A3" t="s">
        <v>622</v>
      </c>
      <c r="B3" s="12">
        <v>0</v>
      </c>
    </row>
    <row r="4" spans="1:6" ht="15.75" thickBot="1" x14ac:dyDescent="0.3">
      <c r="A4" t="s">
        <v>341</v>
      </c>
      <c r="B4" s="13">
        <f>SUM(B1:B3)</f>
        <v>-3228.5</v>
      </c>
    </row>
    <row r="5" spans="1:6" ht="15.75" thickTop="1" x14ac:dyDescent="0.25"/>
    <row r="6" spans="1:6" x14ac:dyDescent="0.25">
      <c r="A6" s="11" t="s">
        <v>12</v>
      </c>
    </row>
    <row r="7" spans="1:6" x14ac:dyDescent="0.25">
      <c r="A7" s="11" t="s">
        <v>343</v>
      </c>
    </row>
    <row r="8" spans="1:6" x14ac:dyDescent="0.25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 t="s">
        <v>19</v>
      </c>
    </row>
    <row r="9" spans="1:6" x14ac:dyDescent="0.25">
      <c r="A9" s="11" t="s">
        <v>741</v>
      </c>
    </row>
    <row r="10" spans="1:6" x14ac:dyDescent="0.25">
      <c r="A10" s="11" t="s">
        <v>162</v>
      </c>
    </row>
    <row r="11" spans="1:6" x14ac:dyDescent="0.25">
      <c r="A11" s="11" t="s">
        <v>14</v>
      </c>
      <c r="B11" s="11" t="s">
        <v>817</v>
      </c>
      <c r="C11" s="11" t="s">
        <v>818</v>
      </c>
      <c r="D11">
        <v>108</v>
      </c>
      <c r="E11">
        <v>91.09</v>
      </c>
      <c r="F11">
        <v>9837.7199999999993</v>
      </c>
    </row>
    <row r="12" spans="1:6" x14ac:dyDescent="0.25">
      <c r="A12" s="11" t="s">
        <v>14</v>
      </c>
      <c r="B12" s="11" t="s">
        <v>819</v>
      </c>
      <c r="C12" s="11" t="s">
        <v>820</v>
      </c>
      <c r="D12">
        <v>985</v>
      </c>
      <c r="E12">
        <v>91.09</v>
      </c>
      <c r="F12">
        <v>89723.65</v>
      </c>
    </row>
    <row r="13" spans="1:6" x14ac:dyDescent="0.25">
      <c r="A13" s="11" t="s">
        <v>14</v>
      </c>
      <c r="B13" s="11" t="s">
        <v>821</v>
      </c>
      <c r="C13" s="11" t="s">
        <v>514</v>
      </c>
      <c r="D13">
        <v>134</v>
      </c>
      <c r="E13">
        <v>91.09</v>
      </c>
      <c r="F13">
        <v>12206.06</v>
      </c>
    </row>
    <row r="14" spans="1:6" x14ac:dyDescent="0.25">
      <c r="A14" s="11" t="s">
        <v>14</v>
      </c>
      <c r="B14" s="11" t="s">
        <v>822</v>
      </c>
      <c r="C14" s="11" t="s">
        <v>446</v>
      </c>
      <c r="D14">
        <v>961</v>
      </c>
      <c r="E14">
        <v>91.09</v>
      </c>
      <c r="F14">
        <v>87537.49</v>
      </c>
    </row>
    <row r="15" spans="1:6" x14ac:dyDescent="0.25">
      <c r="A15" s="11" t="s">
        <v>14</v>
      </c>
      <c r="B15" s="11" t="s">
        <v>823</v>
      </c>
      <c r="C15" s="11" t="s">
        <v>824</v>
      </c>
      <c r="D15">
        <v>138</v>
      </c>
      <c r="E15">
        <v>91.09</v>
      </c>
      <c r="F15">
        <v>12570.42</v>
      </c>
    </row>
    <row r="16" spans="1:6" x14ac:dyDescent="0.25">
      <c r="A16" s="11" t="s">
        <v>14</v>
      </c>
      <c r="B16" s="11" t="s">
        <v>825</v>
      </c>
      <c r="C16" s="11" t="s">
        <v>826</v>
      </c>
      <c r="D16">
        <v>530</v>
      </c>
      <c r="E16">
        <v>91.09</v>
      </c>
      <c r="F16">
        <v>48277.7</v>
      </c>
    </row>
    <row r="17" spans="1:6" x14ac:dyDescent="0.25">
      <c r="A17" s="11" t="s">
        <v>14</v>
      </c>
      <c r="B17" s="11" t="s">
        <v>827</v>
      </c>
      <c r="C17" s="11" t="s">
        <v>416</v>
      </c>
      <c r="D17">
        <v>1073</v>
      </c>
      <c r="E17">
        <v>90.08</v>
      </c>
      <c r="F17">
        <v>96655.84</v>
      </c>
    </row>
    <row r="18" spans="1:6" x14ac:dyDescent="0.25">
      <c r="A18" s="11" t="s">
        <v>14</v>
      </c>
      <c r="B18" s="11" t="s">
        <v>828</v>
      </c>
      <c r="C18" s="11" t="s">
        <v>829</v>
      </c>
      <c r="D18">
        <v>807</v>
      </c>
      <c r="E18">
        <v>90.08</v>
      </c>
      <c r="F18">
        <v>72694.559999999998</v>
      </c>
    </row>
    <row r="19" spans="1:6" x14ac:dyDescent="0.25">
      <c r="A19" s="11" t="s">
        <v>14</v>
      </c>
      <c r="B19" s="11" t="s">
        <v>830</v>
      </c>
      <c r="C19" s="11" t="s">
        <v>353</v>
      </c>
      <c r="D19">
        <v>539</v>
      </c>
      <c r="E19">
        <v>90.08</v>
      </c>
      <c r="F19">
        <v>48553.120000000003</v>
      </c>
    </row>
    <row r="20" spans="1:6" x14ac:dyDescent="0.25">
      <c r="A20" s="11" t="s">
        <v>14</v>
      </c>
      <c r="B20" s="11" t="s">
        <v>831</v>
      </c>
      <c r="C20" s="11" t="s">
        <v>832</v>
      </c>
      <c r="D20">
        <v>1475</v>
      </c>
      <c r="E20">
        <v>90.08</v>
      </c>
      <c r="F20">
        <v>132868</v>
      </c>
    </row>
    <row r="21" spans="1:6" x14ac:dyDescent="0.25">
      <c r="A21" s="11" t="s">
        <v>167</v>
      </c>
      <c r="B21">
        <v>6750</v>
      </c>
      <c r="C21">
        <v>90.507342222222206</v>
      </c>
      <c r="D21">
        <v>610924.56000000006</v>
      </c>
    </row>
    <row r="22" spans="1:6" x14ac:dyDescent="0.25">
      <c r="A22" s="11" t="s">
        <v>168</v>
      </c>
    </row>
    <row r="23" spans="1:6" x14ac:dyDescent="0.25">
      <c r="A23" s="11" t="s">
        <v>14</v>
      </c>
      <c r="B23" s="11" t="s">
        <v>817</v>
      </c>
      <c r="C23" s="11" t="s">
        <v>818</v>
      </c>
      <c r="D23">
        <v>81</v>
      </c>
      <c r="E23">
        <v>76</v>
      </c>
      <c r="F23">
        <v>6156</v>
      </c>
    </row>
    <row r="24" spans="1:6" x14ac:dyDescent="0.25">
      <c r="A24" s="11" t="s">
        <v>14</v>
      </c>
      <c r="B24" s="11" t="s">
        <v>819</v>
      </c>
      <c r="C24" s="11" t="s">
        <v>820</v>
      </c>
      <c r="D24">
        <v>63</v>
      </c>
      <c r="E24">
        <v>76</v>
      </c>
      <c r="F24">
        <v>4788</v>
      </c>
    </row>
    <row r="25" spans="1:6" x14ac:dyDescent="0.25">
      <c r="A25" s="11" t="s">
        <v>14</v>
      </c>
      <c r="B25" s="11" t="s">
        <v>833</v>
      </c>
      <c r="C25" s="11" t="s">
        <v>514</v>
      </c>
      <c r="D25">
        <v>804</v>
      </c>
      <c r="E25">
        <v>76</v>
      </c>
      <c r="F25">
        <v>61104</v>
      </c>
    </row>
    <row r="26" spans="1:6" x14ac:dyDescent="0.25">
      <c r="A26" s="11" t="s">
        <v>14</v>
      </c>
      <c r="B26" s="11" t="s">
        <v>834</v>
      </c>
      <c r="C26" s="11" t="s">
        <v>416</v>
      </c>
      <c r="D26">
        <v>380</v>
      </c>
      <c r="E26">
        <v>75.31</v>
      </c>
      <c r="F26">
        <v>28617.8</v>
      </c>
    </row>
    <row r="27" spans="1:6" x14ac:dyDescent="0.25">
      <c r="A27" s="11" t="s">
        <v>14</v>
      </c>
      <c r="B27" s="11" t="s">
        <v>828</v>
      </c>
      <c r="C27" s="11" t="s">
        <v>829</v>
      </c>
      <c r="D27">
        <v>291</v>
      </c>
      <c r="E27">
        <v>75.31</v>
      </c>
      <c r="F27">
        <v>21915.21</v>
      </c>
    </row>
    <row r="28" spans="1:6" x14ac:dyDescent="0.25">
      <c r="A28" s="11" t="s">
        <v>14</v>
      </c>
      <c r="B28" s="11" t="s">
        <v>830</v>
      </c>
      <c r="C28" s="11" t="s">
        <v>353</v>
      </c>
      <c r="D28">
        <v>195</v>
      </c>
      <c r="E28">
        <v>75.31</v>
      </c>
      <c r="F28">
        <v>14685.45</v>
      </c>
    </row>
    <row r="29" spans="1:6" x14ac:dyDescent="0.25">
      <c r="A29" s="11" t="s">
        <v>14</v>
      </c>
      <c r="B29" s="11" t="s">
        <v>831</v>
      </c>
      <c r="C29" s="11" t="s">
        <v>832</v>
      </c>
      <c r="D29">
        <v>525</v>
      </c>
      <c r="E29">
        <v>75.31</v>
      </c>
      <c r="F29">
        <v>39537.75</v>
      </c>
    </row>
    <row r="30" spans="1:6" x14ac:dyDescent="0.25">
      <c r="A30" s="11" t="s">
        <v>169</v>
      </c>
      <c r="B30">
        <v>2339</v>
      </c>
      <c r="C30">
        <v>75.589657973493004</v>
      </c>
      <c r="D30">
        <v>176804.21</v>
      </c>
    </row>
    <row r="31" spans="1:6" x14ac:dyDescent="0.25">
      <c r="A31" s="11" t="s">
        <v>170</v>
      </c>
    </row>
    <row r="32" spans="1:6" x14ac:dyDescent="0.25">
      <c r="A32" s="11" t="s">
        <v>14</v>
      </c>
      <c r="B32" s="11" t="s">
        <v>817</v>
      </c>
      <c r="C32" s="11" t="s">
        <v>818</v>
      </c>
      <c r="D32">
        <v>119</v>
      </c>
      <c r="E32">
        <v>39.950000000000003</v>
      </c>
      <c r="F32">
        <v>4754.05</v>
      </c>
    </row>
    <row r="33" spans="1:6" x14ac:dyDescent="0.25">
      <c r="A33" s="11" t="s">
        <v>14</v>
      </c>
      <c r="B33" s="11" t="s">
        <v>819</v>
      </c>
      <c r="C33" s="11" t="s">
        <v>820</v>
      </c>
      <c r="D33">
        <v>1079</v>
      </c>
      <c r="E33">
        <v>39.950000000000003</v>
      </c>
      <c r="F33">
        <v>43106.05</v>
      </c>
    </row>
    <row r="34" spans="1:6" x14ac:dyDescent="0.25">
      <c r="A34" s="11" t="s">
        <v>14</v>
      </c>
      <c r="B34" s="11" t="s">
        <v>821</v>
      </c>
      <c r="C34" s="11" t="s">
        <v>514</v>
      </c>
      <c r="D34">
        <v>135</v>
      </c>
      <c r="E34">
        <v>39.950000000000003</v>
      </c>
      <c r="F34">
        <v>5393.25</v>
      </c>
    </row>
    <row r="35" spans="1:6" x14ac:dyDescent="0.25">
      <c r="A35" s="11" t="s">
        <v>14</v>
      </c>
      <c r="B35" s="11" t="s">
        <v>822</v>
      </c>
      <c r="C35" s="11" t="s">
        <v>446</v>
      </c>
      <c r="D35">
        <v>926</v>
      </c>
      <c r="E35">
        <v>39.950000000000003</v>
      </c>
      <c r="F35">
        <v>36993.699999999997</v>
      </c>
    </row>
    <row r="36" spans="1:6" x14ac:dyDescent="0.25">
      <c r="A36" s="11" t="s">
        <v>14</v>
      </c>
      <c r="B36" s="11" t="s">
        <v>823</v>
      </c>
      <c r="C36" s="11" t="s">
        <v>824</v>
      </c>
      <c r="D36">
        <v>135</v>
      </c>
      <c r="E36">
        <v>39.950000000000003</v>
      </c>
      <c r="F36">
        <v>5393.25</v>
      </c>
    </row>
    <row r="37" spans="1:6" x14ac:dyDescent="0.25">
      <c r="A37" s="11" t="s">
        <v>14</v>
      </c>
      <c r="B37" s="11" t="s">
        <v>825</v>
      </c>
      <c r="C37" s="11" t="s">
        <v>826</v>
      </c>
      <c r="D37">
        <v>524</v>
      </c>
      <c r="E37">
        <v>39.950000000000003</v>
      </c>
      <c r="F37">
        <v>20933.8</v>
      </c>
    </row>
    <row r="38" spans="1:6" x14ac:dyDescent="0.25">
      <c r="A38" s="11" t="s">
        <v>14</v>
      </c>
      <c r="B38" s="11" t="s">
        <v>835</v>
      </c>
      <c r="C38" s="11" t="s">
        <v>416</v>
      </c>
      <c r="D38">
        <v>1139</v>
      </c>
      <c r="E38">
        <v>93.58</v>
      </c>
      <c r="F38">
        <v>106587.62</v>
      </c>
    </row>
    <row r="39" spans="1:6" x14ac:dyDescent="0.25">
      <c r="A39" s="11" t="s">
        <v>14</v>
      </c>
      <c r="B39" s="11" t="s">
        <v>828</v>
      </c>
      <c r="C39" s="11" t="s">
        <v>829</v>
      </c>
      <c r="D39">
        <v>887</v>
      </c>
      <c r="E39">
        <v>93.58</v>
      </c>
      <c r="F39">
        <v>83005.460000000006</v>
      </c>
    </row>
    <row r="40" spans="1:6" x14ac:dyDescent="0.25">
      <c r="A40" s="11" t="s">
        <v>14</v>
      </c>
      <c r="B40" s="11" t="s">
        <v>830</v>
      </c>
      <c r="C40" s="11" t="s">
        <v>353</v>
      </c>
      <c r="D40">
        <v>588</v>
      </c>
      <c r="E40">
        <v>93.58</v>
      </c>
      <c r="F40">
        <v>55025.04</v>
      </c>
    </row>
    <row r="41" spans="1:6" x14ac:dyDescent="0.25">
      <c r="A41" s="11" t="s">
        <v>14</v>
      </c>
      <c r="B41" s="11" t="s">
        <v>831</v>
      </c>
      <c r="C41" s="11" t="s">
        <v>832</v>
      </c>
      <c r="D41">
        <v>1625</v>
      </c>
      <c r="E41">
        <v>93.58</v>
      </c>
      <c r="F41">
        <v>152067.5</v>
      </c>
    </row>
    <row r="42" spans="1:6" x14ac:dyDescent="0.25">
      <c r="A42" s="11" t="s">
        <v>171</v>
      </c>
      <c r="B42">
        <v>7157</v>
      </c>
      <c r="C42">
        <v>71.714366354617894</v>
      </c>
      <c r="D42">
        <v>513259.72</v>
      </c>
    </row>
    <row r="43" spans="1:6" x14ac:dyDescent="0.25">
      <c r="A43" s="11" t="s">
        <v>836</v>
      </c>
    </row>
    <row r="44" spans="1:6" x14ac:dyDescent="0.25">
      <c r="A44" s="11" t="s">
        <v>14</v>
      </c>
      <c r="B44" s="11" t="s">
        <v>837</v>
      </c>
      <c r="C44" s="11" t="s">
        <v>392</v>
      </c>
      <c r="D44">
        <v>1189</v>
      </c>
      <c r="E44">
        <v>101.86</v>
      </c>
      <c r="F44">
        <v>121111.54</v>
      </c>
    </row>
    <row r="45" spans="1:6" x14ac:dyDescent="0.25">
      <c r="A45" s="11" t="s">
        <v>14</v>
      </c>
      <c r="B45" s="11" t="s">
        <v>838</v>
      </c>
      <c r="C45" s="11" t="s">
        <v>839</v>
      </c>
      <c r="D45">
        <v>580</v>
      </c>
      <c r="E45">
        <v>101.86</v>
      </c>
      <c r="F45">
        <v>59078.8</v>
      </c>
    </row>
    <row r="46" spans="1:6" x14ac:dyDescent="0.25">
      <c r="A46" s="11" t="s">
        <v>14</v>
      </c>
      <c r="B46" s="11" t="s">
        <v>840</v>
      </c>
      <c r="C46" s="11" t="s">
        <v>841</v>
      </c>
      <c r="D46">
        <v>707</v>
      </c>
      <c r="E46">
        <v>101.86</v>
      </c>
      <c r="F46">
        <v>72015.02</v>
      </c>
    </row>
    <row r="47" spans="1:6" x14ac:dyDescent="0.25">
      <c r="A47" s="11" t="s">
        <v>14</v>
      </c>
      <c r="B47" s="11" t="s">
        <v>842</v>
      </c>
      <c r="C47" s="11" t="s">
        <v>503</v>
      </c>
      <c r="D47">
        <v>1143</v>
      </c>
      <c r="E47">
        <v>101.86</v>
      </c>
      <c r="F47">
        <v>116425.98</v>
      </c>
    </row>
    <row r="48" spans="1:6" x14ac:dyDescent="0.25">
      <c r="A48" s="11" t="s">
        <v>14</v>
      </c>
      <c r="B48" s="11" t="s">
        <v>843</v>
      </c>
      <c r="C48" s="11" t="s">
        <v>824</v>
      </c>
      <c r="D48">
        <v>89</v>
      </c>
      <c r="E48">
        <v>101.86</v>
      </c>
      <c r="F48">
        <v>9065.5400000000009</v>
      </c>
    </row>
    <row r="49" spans="1:6" x14ac:dyDescent="0.25">
      <c r="A49" s="11" t="s">
        <v>14</v>
      </c>
      <c r="B49" s="11" t="s">
        <v>844</v>
      </c>
      <c r="C49" s="11" t="s">
        <v>845</v>
      </c>
      <c r="D49">
        <v>1232</v>
      </c>
      <c r="E49">
        <v>101.86</v>
      </c>
      <c r="F49">
        <v>125491.52</v>
      </c>
    </row>
    <row r="50" spans="1:6" x14ac:dyDescent="0.25">
      <c r="A50" s="11" t="s">
        <v>14</v>
      </c>
      <c r="B50" s="11" t="s">
        <v>846</v>
      </c>
      <c r="C50" s="11" t="s">
        <v>448</v>
      </c>
      <c r="D50">
        <v>1072</v>
      </c>
      <c r="E50">
        <v>101.86</v>
      </c>
      <c r="F50">
        <v>109193.92</v>
      </c>
    </row>
    <row r="51" spans="1:6" x14ac:dyDescent="0.25">
      <c r="A51" s="11" t="s">
        <v>14</v>
      </c>
      <c r="B51" s="11" t="s">
        <v>847</v>
      </c>
      <c r="C51" s="11" t="s">
        <v>412</v>
      </c>
      <c r="D51">
        <v>688</v>
      </c>
      <c r="E51">
        <v>101.86</v>
      </c>
      <c r="F51">
        <v>70079.679999999993</v>
      </c>
    </row>
    <row r="52" spans="1:6" x14ac:dyDescent="0.25">
      <c r="A52" s="11" t="s">
        <v>14</v>
      </c>
      <c r="B52" s="11" t="s">
        <v>848</v>
      </c>
      <c r="C52" s="11" t="s">
        <v>574</v>
      </c>
      <c r="D52">
        <v>-1232</v>
      </c>
      <c r="E52">
        <v>101.86</v>
      </c>
      <c r="F52">
        <v>-125491.52</v>
      </c>
    </row>
    <row r="53" spans="1:6" x14ac:dyDescent="0.25">
      <c r="A53" s="11" t="s">
        <v>849</v>
      </c>
      <c r="B53">
        <v>5468</v>
      </c>
      <c r="C53">
        <v>101.86</v>
      </c>
      <c r="D53">
        <v>556970.48</v>
      </c>
    </row>
    <row r="54" spans="1:6" x14ac:dyDescent="0.25">
      <c r="A54" s="11" t="s">
        <v>249</v>
      </c>
    </row>
    <row r="55" spans="1:6" x14ac:dyDescent="0.25">
      <c r="A55" s="11" t="s">
        <v>14</v>
      </c>
      <c r="B55" s="11" t="s">
        <v>850</v>
      </c>
      <c r="C55" s="11" t="s">
        <v>608</v>
      </c>
      <c r="D55">
        <v>922</v>
      </c>
      <c r="E55">
        <v>101.3</v>
      </c>
      <c r="F55">
        <v>93398.6</v>
      </c>
    </row>
    <row r="56" spans="1:6" x14ac:dyDescent="0.25">
      <c r="A56" s="11" t="s">
        <v>14</v>
      </c>
      <c r="B56" s="11" t="s">
        <v>837</v>
      </c>
      <c r="C56" s="11" t="s">
        <v>392</v>
      </c>
      <c r="D56">
        <v>254</v>
      </c>
      <c r="E56">
        <v>101.3</v>
      </c>
      <c r="F56">
        <v>25730.2</v>
      </c>
    </row>
    <row r="57" spans="1:6" x14ac:dyDescent="0.25">
      <c r="A57" s="11" t="s">
        <v>14</v>
      </c>
      <c r="B57" s="11" t="s">
        <v>851</v>
      </c>
      <c r="C57" s="11" t="s">
        <v>362</v>
      </c>
      <c r="D57">
        <v>1179</v>
      </c>
      <c r="E57">
        <v>101.3</v>
      </c>
      <c r="F57">
        <v>119432.7</v>
      </c>
    </row>
    <row r="58" spans="1:6" x14ac:dyDescent="0.25">
      <c r="A58" s="11" t="s">
        <v>14</v>
      </c>
      <c r="B58" s="11" t="s">
        <v>852</v>
      </c>
      <c r="C58" s="11" t="s">
        <v>853</v>
      </c>
      <c r="D58">
        <v>669</v>
      </c>
      <c r="E58">
        <v>101.3</v>
      </c>
      <c r="F58">
        <v>67769.7</v>
      </c>
    </row>
    <row r="59" spans="1:6" x14ac:dyDescent="0.25">
      <c r="A59" s="11" t="s">
        <v>14</v>
      </c>
      <c r="B59" s="11" t="s">
        <v>854</v>
      </c>
      <c r="C59" s="11" t="s">
        <v>503</v>
      </c>
      <c r="D59">
        <v>391</v>
      </c>
      <c r="E59">
        <v>101.3</v>
      </c>
      <c r="F59">
        <v>39608.300000000003</v>
      </c>
    </row>
    <row r="60" spans="1:6" x14ac:dyDescent="0.25">
      <c r="A60" s="11" t="s">
        <v>14</v>
      </c>
      <c r="B60" s="11" t="s">
        <v>843</v>
      </c>
      <c r="C60" s="11" t="s">
        <v>824</v>
      </c>
      <c r="D60">
        <v>81</v>
      </c>
      <c r="E60">
        <v>101.3</v>
      </c>
      <c r="F60">
        <v>8205.2999999999993</v>
      </c>
    </row>
    <row r="61" spans="1:6" x14ac:dyDescent="0.25">
      <c r="A61" s="11" t="s">
        <v>14</v>
      </c>
      <c r="B61" s="11" t="s">
        <v>844</v>
      </c>
      <c r="C61" s="11" t="s">
        <v>845</v>
      </c>
      <c r="D61">
        <v>1127</v>
      </c>
      <c r="E61">
        <v>101.3</v>
      </c>
      <c r="F61">
        <v>114165.1</v>
      </c>
    </row>
    <row r="62" spans="1:6" x14ac:dyDescent="0.25">
      <c r="A62" s="11" t="s">
        <v>14</v>
      </c>
      <c r="B62" s="11" t="s">
        <v>855</v>
      </c>
      <c r="C62" s="11" t="s">
        <v>448</v>
      </c>
      <c r="D62">
        <v>1330</v>
      </c>
      <c r="E62">
        <v>101.3</v>
      </c>
      <c r="F62">
        <v>134729</v>
      </c>
    </row>
    <row r="63" spans="1:6" x14ac:dyDescent="0.25">
      <c r="A63" s="11" t="s">
        <v>14</v>
      </c>
      <c r="B63" s="11" t="s">
        <v>847</v>
      </c>
      <c r="C63" s="11" t="s">
        <v>412</v>
      </c>
      <c r="D63">
        <v>62</v>
      </c>
      <c r="E63">
        <v>101.3</v>
      </c>
      <c r="F63">
        <v>6280.6</v>
      </c>
    </row>
    <row r="64" spans="1:6" x14ac:dyDescent="0.25">
      <c r="A64" s="11" t="s">
        <v>14</v>
      </c>
      <c r="B64" s="11" t="s">
        <v>848</v>
      </c>
      <c r="C64" s="11" t="s">
        <v>574</v>
      </c>
      <c r="D64">
        <v>-1208</v>
      </c>
      <c r="E64">
        <v>101.3</v>
      </c>
      <c r="F64">
        <v>-122370.4</v>
      </c>
    </row>
    <row r="65" spans="1:6" x14ac:dyDescent="0.25">
      <c r="A65" s="11" t="s">
        <v>251</v>
      </c>
      <c r="B65">
        <v>4807</v>
      </c>
      <c r="C65">
        <v>101.3</v>
      </c>
      <c r="D65">
        <v>486949.1</v>
      </c>
    </row>
    <row r="66" spans="1:6" x14ac:dyDescent="0.25">
      <c r="A66" s="11" t="s">
        <v>856</v>
      </c>
    </row>
    <row r="67" spans="1:6" x14ac:dyDescent="0.25">
      <c r="A67" s="11" t="s">
        <v>14</v>
      </c>
      <c r="B67" s="11" t="s">
        <v>857</v>
      </c>
      <c r="C67" s="11" t="s">
        <v>858</v>
      </c>
      <c r="D67">
        <v>558</v>
      </c>
      <c r="E67">
        <v>86.49</v>
      </c>
      <c r="F67">
        <v>48261.42</v>
      </c>
    </row>
    <row r="68" spans="1:6" x14ac:dyDescent="0.25">
      <c r="A68" s="11" t="s">
        <v>14</v>
      </c>
      <c r="B68" s="11" t="s">
        <v>859</v>
      </c>
      <c r="C68" s="11" t="s">
        <v>503</v>
      </c>
      <c r="D68">
        <v>284</v>
      </c>
      <c r="E68">
        <v>86.49</v>
      </c>
      <c r="F68">
        <v>24563.16</v>
      </c>
    </row>
    <row r="69" spans="1:6" x14ac:dyDescent="0.25">
      <c r="A69" s="11" t="s">
        <v>14</v>
      </c>
      <c r="B69" s="11" t="s">
        <v>843</v>
      </c>
      <c r="C69" s="11" t="s">
        <v>824</v>
      </c>
      <c r="D69">
        <v>57</v>
      </c>
      <c r="E69">
        <v>86.49</v>
      </c>
      <c r="F69">
        <v>4929.93</v>
      </c>
    </row>
    <row r="70" spans="1:6" x14ac:dyDescent="0.25">
      <c r="A70" s="11" t="s">
        <v>14</v>
      </c>
      <c r="B70" s="11" t="s">
        <v>844</v>
      </c>
      <c r="C70" s="11" t="s">
        <v>845</v>
      </c>
      <c r="D70">
        <v>407</v>
      </c>
      <c r="E70">
        <v>86.49</v>
      </c>
      <c r="F70">
        <v>35201.43</v>
      </c>
    </row>
    <row r="71" spans="1:6" x14ac:dyDescent="0.25">
      <c r="A71" s="11" t="s">
        <v>14</v>
      </c>
      <c r="B71" s="11" t="s">
        <v>860</v>
      </c>
      <c r="C71" s="11" t="s">
        <v>861</v>
      </c>
      <c r="D71">
        <v>88</v>
      </c>
      <c r="E71">
        <v>86.49</v>
      </c>
      <c r="F71">
        <v>7611.12</v>
      </c>
    </row>
    <row r="72" spans="1:6" x14ac:dyDescent="0.25">
      <c r="A72" s="11" t="s">
        <v>862</v>
      </c>
      <c r="B72">
        <v>1394</v>
      </c>
      <c r="C72">
        <v>86.49</v>
      </c>
      <c r="D72">
        <v>120567.06</v>
      </c>
    </row>
    <row r="73" spans="1:6" x14ac:dyDescent="0.25">
      <c r="A73" s="11" t="s">
        <v>778</v>
      </c>
    </row>
    <row r="74" spans="1:6" x14ac:dyDescent="0.25">
      <c r="A74" s="11" t="s">
        <v>14</v>
      </c>
      <c r="B74" s="11" t="s">
        <v>863</v>
      </c>
      <c r="C74" s="11" t="s">
        <v>597</v>
      </c>
      <c r="D74">
        <v>1422</v>
      </c>
      <c r="E74">
        <v>0.75</v>
      </c>
      <c r="F74">
        <v>1066.5</v>
      </c>
    </row>
    <row r="75" spans="1:6" x14ac:dyDescent="0.25">
      <c r="A75" s="11" t="s">
        <v>14</v>
      </c>
      <c r="B75" s="11" t="s">
        <v>864</v>
      </c>
      <c r="C75" s="11" t="s">
        <v>601</v>
      </c>
      <c r="D75">
        <v>223</v>
      </c>
      <c r="E75">
        <v>0.75</v>
      </c>
      <c r="F75">
        <v>167.25</v>
      </c>
    </row>
    <row r="76" spans="1:6" x14ac:dyDescent="0.25">
      <c r="A76" s="11" t="s">
        <v>14</v>
      </c>
      <c r="B76" s="11" t="s">
        <v>865</v>
      </c>
      <c r="C76" s="11" t="s">
        <v>866</v>
      </c>
      <c r="D76">
        <v>2504</v>
      </c>
      <c r="E76">
        <v>0.75</v>
      </c>
      <c r="F76">
        <v>1878</v>
      </c>
    </row>
    <row r="77" spans="1:6" x14ac:dyDescent="0.25">
      <c r="A77" s="11" t="s">
        <v>14</v>
      </c>
      <c r="B77" s="11" t="s">
        <v>867</v>
      </c>
      <c r="C77" s="11" t="s">
        <v>866</v>
      </c>
      <c r="D77">
        <v>2470</v>
      </c>
      <c r="E77">
        <v>0.75</v>
      </c>
      <c r="F77">
        <v>1852.5</v>
      </c>
    </row>
    <row r="78" spans="1:6" x14ac:dyDescent="0.25">
      <c r="A78" s="11" t="s">
        <v>14</v>
      </c>
      <c r="B78" s="11" t="s">
        <v>867</v>
      </c>
      <c r="C78" s="11" t="s">
        <v>866</v>
      </c>
      <c r="D78">
        <v>33</v>
      </c>
      <c r="E78">
        <v>0.75</v>
      </c>
      <c r="F78">
        <v>24.75</v>
      </c>
    </row>
    <row r="79" spans="1:6" x14ac:dyDescent="0.25">
      <c r="A79" s="11" t="s">
        <v>14</v>
      </c>
      <c r="B79" s="11" t="s">
        <v>868</v>
      </c>
      <c r="C79" s="11" t="s">
        <v>384</v>
      </c>
      <c r="D79">
        <v>598</v>
      </c>
      <c r="E79">
        <v>0.75</v>
      </c>
      <c r="F79">
        <v>448.5</v>
      </c>
    </row>
    <row r="80" spans="1:6" x14ac:dyDescent="0.25">
      <c r="A80" s="11" t="s">
        <v>14</v>
      </c>
      <c r="B80" s="11" t="s">
        <v>869</v>
      </c>
      <c r="C80" s="11" t="s">
        <v>384</v>
      </c>
      <c r="D80">
        <v>1351</v>
      </c>
      <c r="E80">
        <v>0.75</v>
      </c>
      <c r="F80">
        <v>1013.25</v>
      </c>
    </row>
    <row r="81" spans="1:6" x14ac:dyDescent="0.25">
      <c r="A81" s="11" t="s">
        <v>14</v>
      </c>
      <c r="B81" s="11" t="s">
        <v>870</v>
      </c>
      <c r="C81" s="11" t="s">
        <v>871</v>
      </c>
      <c r="D81">
        <v>45</v>
      </c>
      <c r="E81">
        <v>0.75</v>
      </c>
      <c r="F81">
        <v>33.75</v>
      </c>
    </row>
    <row r="82" spans="1:6" x14ac:dyDescent="0.25">
      <c r="A82" s="11" t="s">
        <v>14</v>
      </c>
      <c r="B82" s="11" t="s">
        <v>872</v>
      </c>
      <c r="C82" s="11" t="s">
        <v>388</v>
      </c>
      <c r="D82">
        <v>644</v>
      </c>
      <c r="E82">
        <v>0.75</v>
      </c>
      <c r="F82">
        <v>483</v>
      </c>
    </row>
    <row r="83" spans="1:6" x14ac:dyDescent="0.25">
      <c r="A83" s="11" t="s">
        <v>14</v>
      </c>
      <c r="B83" s="11" t="s">
        <v>850</v>
      </c>
      <c r="C83" s="11" t="s">
        <v>608</v>
      </c>
      <c r="D83">
        <v>922</v>
      </c>
      <c r="E83">
        <v>0.75</v>
      </c>
      <c r="F83">
        <v>691.5</v>
      </c>
    </row>
    <row r="84" spans="1:6" x14ac:dyDescent="0.25">
      <c r="A84" s="11" t="s">
        <v>14</v>
      </c>
      <c r="B84" s="11" t="s">
        <v>837</v>
      </c>
      <c r="C84" s="11" t="s">
        <v>392</v>
      </c>
      <c r="D84">
        <v>1443</v>
      </c>
      <c r="E84">
        <v>0.75</v>
      </c>
      <c r="F84">
        <v>1082.25</v>
      </c>
    </row>
    <row r="85" spans="1:6" x14ac:dyDescent="0.25">
      <c r="A85" s="11" t="s">
        <v>14</v>
      </c>
      <c r="B85" s="11" t="s">
        <v>873</v>
      </c>
      <c r="C85" s="11" t="s">
        <v>489</v>
      </c>
      <c r="D85">
        <v>681</v>
      </c>
      <c r="E85">
        <v>0.75</v>
      </c>
      <c r="F85">
        <v>510.75</v>
      </c>
    </row>
    <row r="86" spans="1:6" x14ac:dyDescent="0.25">
      <c r="A86" s="11" t="s">
        <v>14</v>
      </c>
      <c r="B86" s="11" t="s">
        <v>874</v>
      </c>
      <c r="C86" s="11" t="s">
        <v>594</v>
      </c>
      <c r="D86">
        <v>299</v>
      </c>
      <c r="E86">
        <v>0.75</v>
      </c>
      <c r="F86">
        <v>224.25</v>
      </c>
    </row>
    <row r="87" spans="1:6" x14ac:dyDescent="0.25">
      <c r="A87" s="11" t="s">
        <v>14</v>
      </c>
      <c r="B87" s="11" t="s">
        <v>851</v>
      </c>
      <c r="C87" s="11" t="s">
        <v>362</v>
      </c>
      <c r="D87">
        <v>1179</v>
      </c>
      <c r="E87">
        <v>0.75</v>
      </c>
      <c r="F87">
        <v>884.25</v>
      </c>
    </row>
    <row r="88" spans="1:6" x14ac:dyDescent="0.25">
      <c r="A88" s="11" t="s">
        <v>14</v>
      </c>
      <c r="B88" s="11" t="s">
        <v>857</v>
      </c>
      <c r="C88" s="11" t="s">
        <v>858</v>
      </c>
      <c r="D88">
        <v>558</v>
      </c>
      <c r="E88">
        <v>0.75</v>
      </c>
      <c r="F88">
        <v>418.5</v>
      </c>
    </row>
    <row r="89" spans="1:6" x14ac:dyDescent="0.25">
      <c r="A89" s="11" t="s">
        <v>14</v>
      </c>
      <c r="B89" s="11" t="s">
        <v>838</v>
      </c>
      <c r="C89" s="11" t="s">
        <v>839</v>
      </c>
      <c r="D89">
        <v>580</v>
      </c>
      <c r="E89">
        <v>0.75</v>
      </c>
      <c r="F89">
        <v>435</v>
      </c>
    </row>
    <row r="90" spans="1:6" x14ac:dyDescent="0.25">
      <c r="A90" s="11" t="s">
        <v>14</v>
      </c>
      <c r="B90" s="11" t="s">
        <v>840</v>
      </c>
      <c r="C90" s="11" t="s">
        <v>841</v>
      </c>
      <c r="D90">
        <v>707</v>
      </c>
      <c r="E90">
        <v>0.75</v>
      </c>
      <c r="F90">
        <v>530.25</v>
      </c>
    </row>
    <row r="91" spans="1:6" x14ac:dyDescent="0.25">
      <c r="A91" s="11" t="s">
        <v>14</v>
      </c>
      <c r="B91" s="11" t="s">
        <v>875</v>
      </c>
      <c r="C91" s="11" t="s">
        <v>876</v>
      </c>
      <c r="D91">
        <v>219</v>
      </c>
      <c r="E91">
        <v>0.75</v>
      </c>
      <c r="F91">
        <v>164.25</v>
      </c>
    </row>
    <row r="92" spans="1:6" x14ac:dyDescent="0.25">
      <c r="A92" s="11" t="s">
        <v>14</v>
      </c>
      <c r="B92" s="11" t="s">
        <v>852</v>
      </c>
      <c r="C92" s="11" t="s">
        <v>853</v>
      </c>
      <c r="D92">
        <v>669</v>
      </c>
      <c r="E92">
        <v>0.75</v>
      </c>
      <c r="F92">
        <v>501.75</v>
      </c>
    </row>
    <row r="93" spans="1:6" x14ac:dyDescent="0.25">
      <c r="A93" s="11" t="s">
        <v>14</v>
      </c>
      <c r="B93" s="11" t="s">
        <v>854</v>
      </c>
      <c r="C93" s="11" t="s">
        <v>503</v>
      </c>
      <c r="D93">
        <v>391</v>
      </c>
      <c r="E93">
        <v>0.75</v>
      </c>
      <c r="F93">
        <v>293.25</v>
      </c>
    </row>
    <row r="94" spans="1:6" x14ac:dyDescent="0.25">
      <c r="A94" s="11" t="s">
        <v>14</v>
      </c>
      <c r="B94" s="11" t="s">
        <v>842</v>
      </c>
      <c r="C94" s="11" t="s">
        <v>503</v>
      </c>
      <c r="D94">
        <v>1143</v>
      </c>
      <c r="E94">
        <v>0.75</v>
      </c>
      <c r="F94">
        <v>857.25</v>
      </c>
    </row>
    <row r="95" spans="1:6" x14ac:dyDescent="0.25">
      <c r="A95" s="11" t="s">
        <v>14</v>
      </c>
      <c r="B95" s="11" t="s">
        <v>859</v>
      </c>
      <c r="C95" s="11" t="s">
        <v>503</v>
      </c>
      <c r="D95">
        <v>284</v>
      </c>
      <c r="E95">
        <v>0.75</v>
      </c>
      <c r="F95">
        <v>213</v>
      </c>
    </row>
    <row r="96" spans="1:6" x14ac:dyDescent="0.25">
      <c r="A96" s="11" t="s">
        <v>14</v>
      </c>
      <c r="B96" s="11" t="s">
        <v>877</v>
      </c>
      <c r="C96" s="11" t="s">
        <v>878</v>
      </c>
      <c r="D96">
        <v>108</v>
      </c>
      <c r="E96">
        <v>0.75</v>
      </c>
      <c r="F96">
        <v>81</v>
      </c>
    </row>
    <row r="97" spans="1:6" x14ac:dyDescent="0.25">
      <c r="A97" s="11" t="s">
        <v>14</v>
      </c>
      <c r="B97" s="11" t="s">
        <v>879</v>
      </c>
      <c r="C97" s="11" t="s">
        <v>880</v>
      </c>
      <c r="D97">
        <v>2058</v>
      </c>
      <c r="E97">
        <v>0.75</v>
      </c>
      <c r="F97">
        <v>1543.5</v>
      </c>
    </row>
    <row r="98" spans="1:6" x14ac:dyDescent="0.25">
      <c r="A98" s="11" t="s">
        <v>14</v>
      </c>
      <c r="B98" s="11" t="s">
        <v>881</v>
      </c>
      <c r="C98" s="11" t="s">
        <v>882</v>
      </c>
      <c r="D98">
        <v>600</v>
      </c>
      <c r="E98">
        <v>0.75</v>
      </c>
      <c r="F98">
        <v>450</v>
      </c>
    </row>
    <row r="99" spans="1:6" x14ac:dyDescent="0.25">
      <c r="A99" s="11" t="s">
        <v>14</v>
      </c>
      <c r="B99" s="11" t="s">
        <v>883</v>
      </c>
      <c r="C99" s="11" t="s">
        <v>884</v>
      </c>
      <c r="D99">
        <v>1731</v>
      </c>
      <c r="E99">
        <v>0.75</v>
      </c>
      <c r="F99">
        <v>1298.25</v>
      </c>
    </row>
    <row r="100" spans="1:6" x14ac:dyDescent="0.25">
      <c r="A100" s="11" t="s">
        <v>14</v>
      </c>
      <c r="B100" s="11" t="s">
        <v>885</v>
      </c>
      <c r="C100" s="11" t="s">
        <v>886</v>
      </c>
      <c r="D100">
        <v>646</v>
      </c>
      <c r="E100">
        <v>0.75</v>
      </c>
      <c r="F100">
        <v>484.5</v>
      </c>
    </row>
    <row r="101" spans="1:6" x14ac:dyDescent="0.25">
      <c r="A101" s="11" t="s">
        <v>14</v>
      </c>
      <c r="B101" s="11" t="s">
        <v>887</v>
      </c>
      <c r="C101" s="11" t="s">
        <v>376</v>
      </c>
      <c r="D101">
        <v>634</v>
      </c>
      <c r="E101">
        <v>0.75</v>
      </c>
      <c r="F101">
        <v>475.5</v>
      </c>
    </row>
    <row r="102" spans="1:6" x14ac:dyDescent="0.25">
      <c r="A102" s="11" t="s">
        <v>14</v>
      </c>
      <c r="B102" s="11" t="s">
        <v>888</v>
      </c>
      <c r="C102" s="11" t="s">
        <v>404</v>
      </c>
      <c r="D102">
        <v>1199</v>
      </c>
      <c r="E102">
        <v>0.75</v>
      </c>
      <c r="F102">
        <v>899.25</v>
      </c>
    </row>
    <row r="103" spans="1:6" x14ac:dyDescent="0.25">
      <c r="A103" s="11" t="s">
        <v>14</v>
      </c>
      <c r="B103" s="11" t="s">
        <v>889</v>
      </c>
      <c r="C103" s="11" t="s">
        <v>559</v>
      </c>
      <c r="D103">
        <v>184</v>
      </c>
      <c r="E103">
        <v>0.75</v>
      </c>
      <c r="F103">
        <v>138</v>
      </c>
    </row>
    <row r="104" spans="1:6" x14ac:dyDescent="0.25">
      <c r="A104" s="11" t="s">
        <v>14</v>
      </c>
      <c r="B104" s="11" t="s">
        <v>890</v>
      </c>
      <c r="C104" s="11" t="s">
        <v>559</v>
      </c>
      <c r="D104">
        <v>2234</v>
      </c>
      <c r="E104">
        <v>0.75</v>
      </c>
      <c r="F104">
        <v>1675.5</v>
      </c>
    </row>
    <row r="105" spans="1:6" x14ac:dyDescent="0.25">
      <c r="A105" s="11" t="s">
        <v>14</v>
      </c>
      <c r="B105" s="11" t="s">
        <v>891</v>
      </c>
      <c r="C105" s="11" t="s">
        <v>559</v>
      </c>
      <c r="D105">
        <v>1770</v>
      </c>
      <c r="E105">
        <v>0.75</v>
      </c>
      <c r="F105">
        <v>1327.5</v>
      </c>
    </row>
    <row r="106" spans="1:6" x14ac:dyDescent="0.25">
      <c r="A106" s="11" t="s">
        <v>14</v>
      </c>
      <c r="B106" s="11" t="s">
        <v>892</v>
      </c>
      <c r="C106" s="11" t="s">
        <v>893</v>
      </c>
      <c r="D106">
        <v>552</v>
      </c>
      <c r="E106">
        <v>0.75</v>
      </c>
      <c r="F106">
        <v>414</v>
      </c>
    </row>
    <row r="107" spans="1:6" x14ac:dyDescent="0.25">
      <c r="A107" s="11" t="s">
        <v>14</v>
      </c>
      <c r="B107" s="11" t="s">
        <v>894</v>
      </c>
      <c r="C107" s="11" t="s">
        <v>895</v>
      </c>
      <c r="D107">
        <v>183</v>
      </c>
      <c r="E107">
        <v>0.75</v>
      </c>
      <c r="F107">
        <v>137.25</v>
      </c>
    </row>
    <row r="108" spans="1:6" x14ac:dyDescent="0.25">
      <c r="A108" s="11" t="s">
        <v>14</v>
      </c>
      <c r="B108" s="11" t="s">
        <v>896</v>
      </c>
      <c r="C108" s="11" t="s">
        <v>481</v>
      </c>
      <c r="D108">
        <v>2120</v>
      </c>
      <c r="E108">
        <v>0.75</v>
      </c>
      <c r="F108">
        <v>1590</v>
      </c>
    </row>
    <row r="109" spans="1:6" x14ac:dyDescent="0.25">
      <c r="A109" s="11" t="s">
        <v>14</v>
      </c>
      <c r="B109" s="11" t="s">
        <v>897</v>
      </c>
      <c r="C109" s="11" t="s">
        <v>898</v>
      </c>
      <c r="D109">
        <v>278</v>
      </c>
      <c r="E109">
        <v>0.75</v>
      </c>
      <c r="F109">
        <v>208.5</v>
      </c>
    </row>
    <row r="110" spans="1:6" x14ac:dyDescent="0.25">
      <c r="A110" s="11" t="s">
        <v>14</v>
      </c>
      <c r="B110" s="11" t="s">
        <v>899</v>
      </c>
      <c r="C110" s="11" t="s">
        <v>898</v>
      </c>
      <c r="D110">
        <v>289</v>
      </c>
      <c r="E110">
        <v>0.75</v>
      </c>
      <c r="F110">
        <v>216.75</v>
      </c>
    </row>
    <row r="111" spans="1:6" x14ac:dyDescent="0.25">
      <c r="A111" s="11" t="s">
        <v>14</v>
      </c>
      <c r="B111" s="11" t="s">
        <v>817</v>
      </c>
      <c r="C111" s="11" t="s">
        <v>818</v>
      </c>
      <c r="D111">
        <v>308</v>
      </c>
      <c r="E111">
        <v>0.75</v>
      </c>
      <c r="F111">
        <v>231</v>
      </c>
    </row>
    <row r="112" spans="1:6" x14ac:dyDescent="0.25">
      <c r="A112" s="11" t="s">
        <v>14</v>
      </c>
      <c r="B112" s="11" t="s">
        <v>819</v>
      </c>
      <c r="C112" s="11" t="s">
        <v>820</v>
      </c>
      <c r="D112">
        <v>2127</v>
      </c>
      <c r="E112">
        <v>0.75</v>
      </c>
      <c r="F112">
        <v>1595.25</v>
      </c>
    </row>
    <row r="113" spans="1:6" x14ac:dyDescent="0.25">
      <c r="A113" s="11" t="s">
        <v>14</v>
      </c>
      <c r="B113" s="11" t="s">
        <v>821</v>
      </c>
      <c r="C113" s="11" t="s">
        <v>514</v>
      </c>
      <c r="D113">
        <v>269</v>
      </c>
      <c r="E113">
        <v>0.75</v>
      </c>
      <c r="F113">
        <v>201.75</v>
      </c>
    </row>
    <row r="114" spans="1:6" x14ac:dyDescent="0.25">
      <c r="A114" s="11" t="s">
        <v>14</v>
      </c>
      <c r="B114" s="11" t="s">
        <v>833</v>
      </c>
      <c r="C114" s="11" t="s">
        <v>514</v>
      </c>
      <c r="D114">
        <v>804</v>
      </c>
      <c r="E114">
        <v>0.75</v>
      </c>
      <c r="F114">
        <v>603</v>
      </c>
    </row>
    <row r="115" spans="1:6" x14ac:dyDescent="0.25">
      <c r="A115" s="11" t="s">
        <v>14</v>
      </c>
      <c r="B115" s="11" t="s">
        <v>822</v>
      </c>
      <c r="C115" s="11" t="s">
        <v>446</v>
      </c>
      <c r="D115">
        <v>1887</v>
      </c>
      <c r="E115">
        <v>0.75</v>
      </c>
      <c r="F115">
        <v>1415.25</v>
      </c>
    </row>
    <row r="116" spans="1:6" x14ac:dyDescent="0.25">
      <c r="A116" s="11" t="s">
        <v>14</v>
      </c>
      <c r="B116" s="11" t="s">
        <v>843</v>
      </c>
      <c r="C116" s="11" t="s">
        <v>824</v>
      </c>
      <c r="D116">
        <v>227</v>
      </c>
      <c r="E116">
        <v>0.75</v>
      </c>
      <c r="F116">
        <v>170.25</v>
      </c>
    </row>
    <row r="117" spans="1:6" x14ac:dyDescent="0.25">
      <c r="A117" s="11" t="s">
        <v>14</v>
      </c>
      <c r="B117" s="11" t="s">
        <v>823</v>
      </c>
      <c r="C117" s="11" t="s">
        <v>824</v>
      </c>
      <c r="D117">
        <v>273</v>
      </c>
      <c r="E117">
        <v>0.75</v>
      </c>
      <c r="F117">
        <v>204.75</v>
      </c>
    </row>
    <row r="118" spans="1:6" x14ac:dyDescent="0.25">
      <c r="A118" s="11" t="s">
        <v>14</v>
      </c>
      <c r="B118" s="11" t="s">
        <v>844</v>
      </c>
      <c r="C118" s="11" t="s">
        <v>845</v>
      </c>
      <c r="D118">
        <v>2766</v>
      </c>
      <c r="E118">
        <v>0.75</v>
      </c>
      <c r="F118">
        <v>2074.5</v>
      </c>
    </row>
    <row r="119" spans="1:6" x14ac:dyDescent="0.25">
      <c r="A119" s="11" t="s">
        <v>14</v>
      </c>
      <c r="B119" s="11" t="s">
        <v>825</v>
      </c>
      <c r="C119" s="11" t="s">
        <v>826</v>
      </c>
      <c r="D119">
        <v>1054</v>
      </c>
      <c r="E119">
        <v>0.75</v>
      </c>
      <c r="F119">
        <v>790.5</v>
      </c>
    </row>
    <row r="120" spans="1:6" x14ac:dyDescent="0.25">
      <c r="A120" s="11" t="s">
        <v>14</v>
      </c>
      <c r="B120" s="11" t="s">
        <v>860</v>
      </c>
      <c r="C120" s="11" t="s">
        <v>861</v>
      </c>
      <c r="D120">
        <v>88</v>
      </c>
      <c r="E120">
        <v>0.75</v>
      </c>
      <c r="F120">
        <v>66</v>
      </c>
    </row>
    <row r="121" spans="1:6" x14ac:dyDescent="0.25">
      <c r="A121" s="11" t="s">
        <v>14</v>
      </c>
      <c r="B121" s="11" t="s">
        <v>855</v>
      </c>
      <c r="C121" s="11" t="s">
        <v>448</v>
      </c>
      <c r="D121">
        <v>1330</v>
      </c>
      <c r="E121">
        <v>0.75</v>
      </c>
      <c r="F121">
        <v>997.5</v>
      </c>
    </row>
    <row r="122" spans="1:6" x14ac:dyDescent="0.25">
      <c r="A122" s="11" t="s">
        <v>14</v>
      </c>
      <c r="B122" s="11" t="s">
        <v>846</v>
      </c>
      <c r="C122" s="11" t="s">
        <v>448</v>
      </c>
      <c r="D122">
        <v>1072</v>
      </c>
      <c r="E122">
        <v>0.75</v>
      </c>
      <c r="F122">
        <v>804</v>
      </c>
    </row>
    <row r="123" spans="1:6" x14ac:dyDescent="0.25">
      <c r="A123" s="11" t="s">
        <v>14</v>
      </c>
      <c r="B123" s="11" t="s">
        <v>900</v>
      </c>
      <c r="C123" s="11" t="s">
        <v>448</v>
      </c>
      <c r="D123">
        <v>387</v>
      </c>
      <c r="E123">
        <v>0.75</v>
      </c>
      <c r="F123">
        <v>290.25</v>
      </c>
    </row>
    <row r="124" spans="1:6" x14ac:dyDescent="0.25">
      <c r="A124" s="11" t="s">
        <v>14</v>
      </c>
      <c r="B124" s="11" t="s">
        <v>901</v>
      </c>
      <c r="C124" s="11" t="s">
        <v>412</v>
      </c>
      <c r="D124">
        <v>174</v>
      </c>
      <c r="E124">
        <v>0.75</v>
      </c>
      <c r="F124">
        <v>130.5</v>
      </c>
    </row>
    <row r="125" spans="1:6" x14ac:dyDescent="0.25">
      <c r="A125" s="11" t="s">
        <v>14</v>
      </c>
      <c r="B125" s="11" t="s">
        <v>902</v>
      </c>
      <c r="C125" s="11" t="s">
        <v>412</v>
      </c>
      <c r="D125">
        <v>316</v>
      </c>
      <c r="E125">
        <v>0.75</v>
      </c>
      <c r="F125">
        <v>237</v>
      </c>
    </row>
    <row r="126" spans="1:6" x14ac:dyDescent="0.25">
      <c r="A126" s="11" t="s">
        <v>14</v>
      </c>
      <c r="B126" s="11" t="s">
        <v>847</v>
      </c>
      <c r="C126" s="11" t="s">
        <v>412</v>
      </c>
      <c r="D126">
        <v>750</v>
      </c>
      <c r="E126">
        <v>0.75</v>
      </c>
      <c r="F126">
        <v>562.5</v>
      </c>
    </row>
    <row r="127" spans="1:6" x14ac:dyDescent="0.25">
      <c r="A127" s="11" t="s">
        <v>14</v>
      </c>
      <c r="B127" s="11" t="s">
        <v>903</v>
      </c>
      <c r="C127" s="11" t="s">
        <v>904</v>
      </c>
      <c r="D127">
        <v>1162</v>
      </c>
      <c r="E127">
        <v>0.75</v>
      </c>
      <c r="F127">
        <v>871.5</v>
      </c>
    </row>
    <row r="128" spans="1:6" x14ac:dyDescent="0.25">
      <c r="A128" s="11" t="s">
        <v>14</v>
      </c>
      <c r="B128" s="11" t="s">
        <v>905</v>
      </c>
      <c r="C128" s="11" t="s">
        <v>906</v>
      </c>
      <c r="D128">
        <v>548</v>
      </c>
      <c r="E128">
        <v>0.75</v>
      </c>
      <c r="F128">
        <v>411</v>
      </c>
    </row>
    <row r="129" spans="1:6" x14ac:dyDescent="0.25">
      <c r="A129" s="11" t="s">
        <v>14</v>
      </c>
      <c r="B129" s="11" t="s">
        <v>907</v>
      </c>
      <c r="C129" s="11" t="s">
        <v>906</v>
      </c>
      <c r="D129">
        <v>1508</v>
      </c>
      <c r="E129">
        <v>0.75</v>
      </c>
      <c r="F129">
        <v>1131</v>
      </c>
    </row>
    <row r="130" spans="1:6" x14ac:dyDescent="0.25">
      <c r="A130" s="11" t="s">
        <v>14</v>
      </c>
      <c r="B130" s="11" t="s">
        <v>908</v>
      </c>
      <c r="C130" s="11" t="s">
        <v>909</v>
      </c>
      <c r="D130">
        <v>301</v>
      </c>
      <c r="E130">
        <v>0.75</v>
      </c>
      <c r="F130">
        <v>225.75</v>
      </c>
    </row>
    <row r="131" spans="1:6" x14ac:dyDescent="0.25">
      <c r="A131" s="11" t="s">
        <v>14</v>
      </c>
      <c r="B131" s="11" t="s">
        <v>908</v>
      </c>
      <c r="C131" s="11" t="s">
        <v>909</v>
      </c>
      <c r="D131">
        <v>1809</v>
      </c>
      <c r="E131">
        <v>0.75</v>
      </c>
      <c r="F131">
        <v>1356.75</v>
      </c>
    </row>
    <row r="132" spans="1:6" x14ac:dyDescent="0.25">
      <c r="A132" s="11" t="s">
        <v>14</v>
      </c>
      <c r="B132" s="11" t="s">
        <v>910</v>
      </c>
      <c r="C132" s="11" t="s">
        <v>909</v>
      </c>
      <c r="D132">
        <v>1655</v>
      </c>
      <c r="E132">
        <v>0.75</v>
      </c>
      <c r="F132">
        <v>1241.25</v>
      </c>
    </row>
    <row r="133" spans="1:6" x14ac:dyDescent="0.25">
      <c r="A133" s="11" t="s">
        <v>14</v>
      </c>
      <c r="B133" s="11" t="s">
        <v>834</v>
      </c>
      <c r="C133" s="11" t="s">
        <v>416</v>
      </c>
      <c r="D133">
        <v>380</v>
      </c>
      <c r="E133">
        <v>0.75</v>
      </c>
      <c r="F133">
        <v>285</v>
      </c>
    </row>
    <row r="134" spans="1:6" x14ac:dyDescent="0.25">
      <c r="A134" s="11" t="s">
        <v>14</v>
      </c>
      <c r="B134" s="11" t="s">
        <v>827</v>
      </c>
      <c r="C134" s="11" t="s">
        <v>416</v>
      </c>
      <c r="D134">
        <v>1073</v>
      </c>
      <c r="E134">
        <v>0.75</v>
      </c>
      <c r="F134">
        <v>804.75</v>
      </c>
    </row>
    <row r="135" spans="1:6" x14ac:dyDescent="0.25">
      <c r="A135" s="11" t="s">
        <v>14</v>
      </c>
      <c r="B135" s="11" t="s">
        <v>911</v>
      </c>
      <c r="C135" s="11" t="s">
        <v>521</v>
      </c>
      <c r="D135">
        <v>802</v>
      </c>
      <c r="E135">
        <v>0.75</v>
      </c>
      <c r="F135">
        <v>601.5</v>
      </c>
    </row>
    <row r="136" spans="1:6" x14ac:dyDescent="0.25">
      <c r="A136" s="11" t="s">
        <v>14</v>
      </c>
      <c r="B136" s="11" t="s">
        <v>835</v>
      </c>
      <c r="C136" s="11" t="s">
        <v>416</v>
      </c>
      <c r="D136">
        <v>1139</v>
      </c>
      <c r="E136">
        <v>0.75</v>
      </c>
      <c r="F136">
        <v>854.25</v>
      </c>
    </row>
    <row r="137" spans="1:6" x14ac:dyDescent="0.25">
      <c r="A137" s="11" t="s">
        <v>14</v>
      </c>
      <c r="B137" s="11" t="s">
        <v>912</v>
      </c>
      <c r="C137" s="11" t="s">
        <v>913</v>
      </c>
      <c r="D137">
        <v>1067</v>
      </c>
      <c r="E137">
        <v>0.75</v>
      </c>
      <c r="F137">
        <v>800.25</v>
      </c>
    </row>
    <row r="138" spans="1:6" x14ac:dyDescent="0.25">
      <c r="A138" s="11" t="s">
        <v>14</v>
      </c>
      <c r="B138" s="11" t="s">
        <v>914</v>
      </c>
      <c r="C138" s="11" t="s">
        <v>453</v>
      </c>
      <c r="D138">
        <v>1406</v>
      </c>
      <c r="E138">
        <v>0.75</v>
      </c>
      <c r="F138">
        <v>1054.5</v>
      </c>
    </row>
    <row r="139" spans="1:6" x14ac:dyDescent="0.25">
      <c r="A139" s="11" t="s">
        <v>14</v>
      </c>
      <c r="B139" s="11" t="s">
        <v>828</v>
      </c>
      <c r="C139" s="11" t="s">
        <v>829</v>
      </c>
      <c r="D139">
        <v>1785</v>
      </c>
      <c r="E139">
        <v>0.75</v>
      </c>
      <c r="F139">
        <v>1338.75</v>
      </c>
    </row>
    <row r="140" spans="1:6" x14ac:dyDescent="0.25">
      <c r="A140" s="11" t="s">
        <v>14</v>
      </c>
      <c r="B140" s="11" t="s">
        <v>830</v>
      </c>
      <c r="C140" s="11" t="s">
        <v>353</v>
      </c>
      <c r="D140">
        <v>1322</v>
      </c>
      <c r="E140">
        <v>0.75</v>
      </c>
      <c r="F140">
        <v>991.5</v>
      </c>
    </row>
    <row r="141" spans="1:6" x14ac:dyDescent="0.25">
      <c r="A141" s="11" t="s">
        <v>14</v>
      </c>
      <c r="B141" s="11" t="s">
        <v>831</v>
      </c>
      <c r="C141" s="11" t="s">
        <v>832</v>
      </c>
      <c r="D141">
        <v>3625</v>
      </c>
      <c r="E141">
        <v>0.75</v>
      </c>
      <c r="F141">
        <v>2718.75</v>
      </c>
    </row>
    <row r="142" spans="1:6" x14ac:dyDescent="0.25">
      <c r="A142" s="11" t="s">
        <v>14</v>
      </c>
      <c r="B142" s="11" t="s">
        <v>915</v>
      </c>
      <c r="C142" s="11" t="s">
        <v>829</v>
      </c>
      <c r="D142">
        <v>200</v>
      </c>
      <c r="E142">
        <v>0.75</v>
      </c>
      <c r="F142">
        <v>150</v>
      </c>
    </row>
    <row r="143" spans="1:6" x14ac:dyDescent="0.25">
      <c r="A143" s="11" t="s">
        <v>14</v>
      </c>
      <c r="B143" s="11" t="s">
        <v>916</v>
      </c>
      <c r="C143" s="11" t="s">
        <v>866</v>
      </c>
      <c r="D143">
        <v>-2504</v>
      </c>
      <c r="E143">
        <v>0.75</v>
      </c>
      <c r="F143">
        <v>-1878</v>
      </c>
    </row>
    <row r="144" spans="1:6" x14ac:dyDescent="0.25">
      <c r="A144" s="11" t="s">
        <v>790</v>
      </c>
      <c r="B144">
        <v>64061</v>
      </c>
      <c r="C144">
        <v>0.75</v>
      </c>
      <c r="D144">
        <v>48045.75</v>
      </c>
    </row>
    <row r="145" spans="1:6" x14ac:dyDescent="0.25">
      <c r="A145" s="11" t="s">
        <v>917</v>
      </c>
    </row>
    <row r="146" spans="1:6" x14ac:dyDescent="0.25">
      <c r="A146" s="11" t="s">
        <v>14</v>
      </c>
      <c r="B146" s="11" t="s">
        <v>885</v>
      </c>
      <c r="C146" s="11" t="s">
        <v>886</v>
      </c>
      <c r="D146">
        <v>646</v>
      </c>
      <c r="E146">
        <v>117.85</v>
      </c>
      <c r="F146">
        <v>76131.100000000006</v>
      </c>
    </row>
    <row r="147" spans="1:6" x14ac:dyDescent="0.25">
      <c r="A147" s="11" t="s">
        <v>918</v>
      </c>
      <c r="B147">
        <v>646</v>
      </c>
      <c r="C147">
        <v>117.85</v>
      </c>
      <c r="D147">
        <v>76131.100000000006</v>
      </c>
    </row>
    <row r="148" spans="1:6" x14ac:dyDescent="0.25">
      <c r="A148" s="11" t="s">
        <v>919</v>
      </c>
    </row>
    <row r="149" spans="1:6" x14ac:dyDescent="0.25">
      <c r="A149" s="11" t="s">
        <v>14</v>
      </c>
      <c r="B149" s="11" t="s">
        <v>903</v>
      </c>
      <c r="C149" s="11" t="s">
        <v>904</v>
      </c>
      <c r="D149">
        <v>572</v>
      </c>
      <c r="E149">
        <v>117.25</v>
      </c>
      <c r="F149">
        <v>67067</v>
      </c>
    </row>
    <row r="150" spans="1:6" x14ac:dyDescent="0.25">
      <c r="A150" s="11" t="s">
        <v>920</v>
      </c>
      <c r="B150">
        <v>572</v>
      </c>
      <c r="C150">
        <v>117.25</v>
      </c>
      <c r="D150">
        <v>67067</v>
      </c>
    </row>
    <row r="151" spans="1:6" x14ac:dyDescent="0.25">
      <c r="A151" s="11" t="s">
        <v>921</v>
      </c>
    </row>
    <row r="152" spans="1:6" x14ac:dyDescent="0.25">
      <c r="A152" s="11" t="s">
        <v>14</v>
      </c>
      <c r="B152" s="11" t="s">
        <v>903</v>
      </c>
      <c r="C152" s="11" t="s">
        <v>904</v>
      </c>
      <c r="D152">
        <v>590</v>
      </c>
      <c r="E152">
        <v>117.25</v>
      </c>
      <c r="F152">
        <v>69177.5</v>
      </c>
    </row>
    <row r="153" spans="1:6" x14ac:dyDescent="0.25">
      <c r="A153" s="11" t="s">
        <v>922</v>
      </c>
      <c r="B153">
        <v>590</v>
      </c>
      <c r="C153">
        <v>117.25</v>
      </c>
      <c r="D153">
        <v>69177.5</v>
      </c>
    </row>
    <row r="154" spans="1:6" x14ac:dyDescent="0.25">
      <c r="A154" s="11" t="s">
        <v>791</v>
      </c>
    </row>
    <row r="155" spans="1:6" x14ac:dyDescent="0.25">
      <c r="A155" s="11" t="s">
        <v>14</v>
      </c>
      <c r="B155" s="11" t="s">
        <v>863</v>
      </c>
      <c r="C155" s="11" t="s">
        <v>597</v>
      </c>
      <c r="D155">
        <v>371</v>
      </c>
      <c r="E155">
        <v>82.07</v>
      </c>
      <c r="F155">
        <v>30447.97</v>
      </c>
    </row>
    <row r="156" spans="1:6" x14ac:dyDescent="0.25">
      <c r="A156" s="11" t="s">
        <v>14</v>
      </c>
      <c r="B156" s="11" t="s">
        <v>864</v>
      </c>
      <c r="C156" s="11" t="s">
        <v>601</v>
      </c>
      <c r="D156">
        <v>223</v>
      </c>
      <c r="E156">
        <v>87.31</v>
      </c>
      <c r="F156">
        <v>19470.13</v>
      </c>
    </row>
    <row r="157" spans="1:6" x14ac:dyDescent="0.25">
      <c r="A157" s="11" t="s">
        <v>14</v>
      </c>
      <c r="B157" s="11" t="s">
        <v>865</v>
      </c>
      <c r="C157" s="11" t="s">
        <v>866</v>
      </c>
      <c r="D157">
        <v>33</v>
      </c>
      <c r="E157">
        <v>87.31</v>
      </c>
      <c r="F157">
        <v>2881.23</v>
      </c>
    </row>
    <row r="158" spans="1:6" x14ac:dyDescent="0.25">
      <c r="A158" s="11" t="s">
        <v>14</v>
      </c>
      <c r="B158" s="11" t="s">
        <v>923</v>
      </c>
      <c r="C158" s="11" t="s">
        <v>597</v>
      </c>
      <c r="D158">
        <v>371</v>
      </c>
      <c r="E158">
        <v>87.31</v>
      </c>
      <c r="F158">
        <v>32392.01</v>
      </c>
    </row>
    <row r="159" spans="1:6" x14ac:dyDescent="0.25">
      <c r="A159" s="11" t="s">
        <v>14</v>
      </c>
      <c r="B159" s="11" t="s">
        <v>867</v>
      </c>
      <c r="C159" s="11" t="s">
        <v>866</v>
      </c>
      <c r="D159">
        <v>33</v>
      </c>
      <c r="E159">
        <v>87.31</v>
      </c>
      <c r="F159">
        <v>2881.23</v>
      </c>
    </row>
    <row r="160" spans="1:6" x14ac:dyDescent="0.25">
      <c r="A160" s="11" t="s">
        <v>14</v>
      </c>
      <c r="B160" s="11" t="s">
        <v>869</v>
      </c>
      <c r="C160" s="11" t="s">
        <v>384</v>
      </c>
      <c r="D160">
        <v>1259</v>
      </c>
      <c r="E160">
        <v>82.07</v>
      </c>
      <c r="F160">
        <v>103326.13</v>
      </c>
    </row>
    <row r="161" spans="1:6" x14ac:dyDescent="0.25">
      <c r="A161" s="11" t="s">
        <v>14</v>
      </c>
      <c r="B161" s="11" t="s">
        <v>869</v>
      </c>
      <c r="C161" s="11" t="s">
        <v>384</v>
      </c>
      <c r="D161">
        <v>92</v>
      </c>
      <c r="E161">
        <v>82.07</v>
      </c>
      <c r="F161">
        <v>7550.44</v>
      </c>
    </row>
    <row r="162" spans="1:6" x14ac:dyDescent="0.25">
      <c r="A162" s="11" t="s">
        <v>14</v>
      </c>
      <c r="B162" s="11" t="s">
        <v>870</v>
      </c>
      <c r="C162" s="11" t="s">
        <v>871</v>
      </c>
      <c r="D162">
        <v>45</v>
      </c>
      <c r="E162">
        <v>82.07</v>
      </c>
      <c r="F162">
        <v>3693.15</v>
      </c>
    </row>
    <row r="163" spans="1:6" x14ac:dyDescent="0.25">
      <c r="A163" s="11" t="s">
        <v>14</v>
      </c>
      <c r="B163" s="11" t="s">
        <v>877</v>
      </c>
      <c r="C163" s="11" t="s">
        <v>878</v>
      </c>
      <c r="D163">
        <v>108</v>
      </c>
      <c r="E163">
        <v>82.07</v>
      </c>
      <c r="F163">
        <v>8863.56</v>
      </c>
    </row>
    <row r="164" spans="1:6" x14ac:dyDescent="0.25">
      <c r="A164" s="11" t="s">
        <v>14</v>
      </c>
      <c r="B164" s="11" t="s">
        <v>881</v>
      </c>
      <c r="C164" s="11" t="s">
        <v>882</v>
      </c>
      <c r="D164">
        <v>231</v>
      </c>
      <c r="E164">
        <v>82.07</v>
      </c>
      <c r="F164">
        <v>18958.169999999998</v>
      </c>
    </row>
    <row r="165" spans="1:6" x14ac:dyDescent="0.25">
      <c r="A165" s="11" t="s">
        <v>14</v>
      </c>
      <c r="B165" s="11" t="s">
        <v>883</v>
      </c>
      <c r="C165" s="11" t="s">
        <v>884</v>
      </c>
      <c r="D165">
        <v>483</v>
      </c>
      <c r="E165">
        <v>82.07</v>
      </c>
      <c r="F165">
        <v>39639.81</v>
      </c>
    </row>
    <row r="166" spans="1:6" x14ac:dyDescent="0.25">
      <c r="A166" s="11" t="s">
        <v>14</v>
      </c>
      <c r="B166" s="11" t="s">
        <v>888</v>
      </c>
      <c r="C166" s="11" t="s">
        <v>404</v>
      </c>
      <c r="D166">
        <v>626</v>
      </c>
      <c r="E166">
        <v>76</v>
      </c>
      <c r="F166">
        <v>47576</v>
      </c>
    </row>
    <row r="167" spans="1:6" x14ac:dyDescent="0.25">
      <c r="A167" s="11" t="s">
        <v>14</v>
      </c>
      <c r="B167" s="11" t="s">
        <v>889</v>
      </c>
      <c r="C167" s="11" t="s">
        <v>559</v>
      </c>
      <c r="D167">
        <v>184</v>
      </c>
      <c r="E167">
        <v>76</v>
      </c>
      <c r="F167">
        <v>13984</v>
      </c>
    </row>
    <row r="168" spans="1:6" x14ac:dyDescent="0.25">
      <c r="A168" s="11" t="s">
        <v>14</v>
      </c>
      <c r="B168" s="11" t="s">
        <v>892</v>
      </c>
      <c r="C168" s="11" t="s">
        <v>893</v>
      </c>
      <c r="D168">
        <v>552</v>
      </c>
      <c r="E168">
        <v>76</v>
      </c>
      <c r="F168">
        <v>41952</v>
      </c>
    </row>
    <row r="169" spans="1:6" x14ac:dyDescent="0.25">
      <c r="A169" s="11" t="s">
        <v>14</v>
      </c>
      <c r="B169" s="11" t="s">
        <v>894</v>
      </c>
      <c r="C169" s="11" t="s">
        <v>895</v>
      </c>
      <c r="D169">
        <v>183</v>
      </c>
      <c r="E169">
        <v>76</v>
      </c>
      <c r="F169">
        <v>13908</v>
      </c>
    </row>
    <row r="170" spans="1:6" x14ac:dyDescent="0.25">
      <c r="A170" s="11" t="s">
        <v>14</v>
      </c>
      <c r="B170" s="11" t="s">
        <v>896</v>
      </c>
      <c r="C170" s="11" t="s">
        <v>481</v>
      </c>
      <c r="D170">
        <v>376</v>
      </c>
      <c r="E170">
        <v>76</v>
      </c>
      <c r="F170">
        <v>28576</v>
      </c>
    </row>
    <row r="171" spans="1:6" x14ac:dyDescent="0.25">
      <c r="A171" s="11" t="s">
        <v>14</v>
      </c>
      <c r="B171" s="11" t="s">
        <v>897</v>
      </c>
      <c r="C171" s="11" t="s">
        <v>898</v>
      </c>
      <c r="D171">
        <v>157</v>
      </c>
      <c r="E171">
        <v>76</v>
      </c>
      <c r="F171">
        <v>11932</v>
      </c>
    </row>
    <row r="172" spans="1:6" x14ac:dyDescent="0.25">
      <c r="A172" s="11" t="s">
        <v>14</v>
      </c>
      <c r="B172" s="11" t="s">
        <v>899</v>
      </c>
      <c r="C172" s="11" t="s">
        <v>898</v>
      </c>
      <c r="D172">
        <v>289</v>
      </c>
      <c r="E172">
        <v>76</v>
      </c>
      <c r="F172">
        <v>21964</v>
      </c>
    </row>
    <row r="173" spans="1:6" x14ac:dyDescent="0.25">
      <c r="A173" s="11" t="s">
        <v>14</v>
      </c>
      <c r="B173" s="11" t="s">
        <v>905</v>
      </c>
      <c r="C173" s="11" t="s">
        <v>906</v>
      </c>
      <c r="D173">
        <v>548</v>
      </c>
      <c r="E173">
        <v>76</v>
      </c>
      <c r="F173">
        <v>41648</v>
      </c>
    </row>
    <row r="174" spans="1:6" x14ac:dyDescent="0.25">
      <c r="A174" s="11" t="s">
        <v>14</v>
      </c>
      <c r="B174" s="11" t="s">
        <v>910</v>
      </c>
      <c r="C174" s="11" t="s">
        <v>909</v>
      </c>
      <c r="D174">
        <v>1655</v>
      </c>
      <c r="E174">
        <v>76</v>
      </c>
      <c r="F174">
        <v>125780</v>
      </c>
    </row>
    <row r="175" spans="1:6" x14ac:dyDescent="0.25">
      <c r="A175" s="11" t="s">
        <v>14</v>
      </c>
      <c r="B175" s="11" t="s">
        <v>911</v>
      </c>
      <c r="C175" s="11" t="s">
        <v>521</v>
      </c>
      <c r="D175">
        <v>49</v>
      </c>
      <c r="E175">
        <v>76</v>
      </c>
      <c r="F175">
        <v>3724</v>
      </c>
    </row>
    <row r="176" spans="1:6" x14ac:dyDescent="0.25">
      <c r="A176" s="11" t="s">
        <v>14</v>
      </c>
      <c r="B176" s="11" t="s">
        <v>924</v>
      </c>
      <c r="C176" s="11" t="s">
        <v>925</v>
      </c>
      <c r="D176">
        <v>-371</v>
      </c>
      <c r="E176">
        <v>82.07</v>
      </c>
      <c r="F176">
        <v>-30447.97</v>
      </c>
    </row>
    <row r="177" spans="1:6" x14ac:dyDescent="0.25">
      <c r="A177" s="11" t="s">
        <v>14</v>
      </c>
      <c r="B177" s="11" t="s">
        <v>916</v>
      </c>
      <c r="C177" s="11" t="s">
        <v>866</v>
      </c>
      <c r="D177">
        <v>-33</v>
      </c>
      <c r="E177">
        <v>87.31</v>
      </c>
      <c r="F177">
        <v>-2881.23</v>
      </c>
    </row>
    <row r="178" spans="1:6" x14ac:dyDescent="0.25">
      <c r="A178" s="11" t="s">
        <v>14</v>
      </c>
      <c r="B178" s="11" t="s">
        <v>926</v>
      </c>
      <c r="C178" s="11" t="s">
        <v>878</v>
      </c>
      <c r="D178">
        <v>-231</v>
      </c>
      <c r="E178">
        <v>82.07</v>
      </c>
      <c r="F178">
        <v>-18958.169999999998</v>
      </c>
    </row>
    <row r="179" spans="1:6" x14ac:dyDescent="0.25">
      <c r="A179" s="11" t="s">
        <v>792</v>
      </c>
      <c r="B179">
        <v>7233</v>
      </c>
      <c r="C179">
        <v>79.199717746677607</v>
      </c>
      <c r="D179">
        <v>568860.46</v>
      </c>
    </row>
    <row r="180" spans="1:6" x14ac:dyDescent="0.25">
      <c r="A180" s="11" t="s">
        <v>282</v>
      </c>
    </row>
    <row r="181" spans="1:6" x14ac:dyDescent="0.25">
      <c r="A181" s="11" t="s">
        <v>14</v>
      </c>
      <c r="B181" s="11" t="s">
        <v>863</v>
      </c>
      <c r="C181" s="11" t="s">
        <v>597</v>
      </c>
      <c r="D181">
        <v>1051</v>
      </c>
      <c r="E181">
        <v>84.32</v>
      </c>
      <c r="F181">
        <v>88620.32</v>
      </c>
    </row>
    <row r="182" spans="1:6" x14ac:dyDescent="0.25">
      <c r="A182" s="11" t="s">
        <v>14</v>
      </c>
      <c r="B182" s="11" t="s">
        <v>865</v>
      </c>
      <c r="C182" s="11" t="s">
        <v>866</v>
      </c>
      <c r="D182">
        <v>2471</v>
      </c>
      <c r="E182">
        <v>84.32</v>
      </c>
      <c r="F182">
        <v>208354.72</v>
      </c>
    </row>
    <row r="183" spans="1:6" x14ac:dyDescent="0.25">
      <c r="A183" s="11" t="s">
        <v>14</v>
      </c>
      <c r="B183" s="11" t="s">
        <v>867</v>
      </c>
      <c r="C183" s="11" t="s">
        <v>866</v>
      </c>
      <c r="D183">
        <v>2470</v>
      </c>
      <c r="E183">
        <v>84.32</v>
      </c>
      <c r="F183">
        <v>208270.4</v>
      </c>
    </row>
    <row r="184" spans="1:6" x14ac:dyDescent="0.25">
      <c r="A184" s="11" t="s">
        <v>14</v>
      </c>
      <c r="B184" s="11" t="s">
        <v>868</v>
      </c>
      <c r="C184" s="11" t="s">
        <v>384</v>
      </c>
      <c r="D184">
        <v>598</v>
      </c>
      <c r="E184">
        <v>90.59</v>
      </c>
      <c r="F184">
        <v>54172.82</v>
      </c>
    </row>
    <row r="185" spans="1:6" x14ac:dyDescent="0.25">
      <c r="A185" s="11" t="s">
        <v>14</v>
      </c>
      <c r="B185" s="11" t="s">
        <v>872</v>
      </c>
      <c r="C185" s="11" t="s">
        <v>388</v>
      </c>
      <c r="D185">
        <v>644</v>
      </c>
      <c r="E185">
        <v>90.59</v>
      </c>
      <c r="F185">
        <v>58339.96</v>
      </c>
    </row>
    <row r="186" spans="1:6" x14ac:dyDescent="0.25">
      <c r="A186" s="11" t="s">
        <v>14</v>
      </c>
      <c r="B186" s="11" t="s">
        <v>874</v>
      </c>
      <c r="C186" s="11" t="s">
        <v>594</v>
      </c>
      <c r="D186">
        <v>299</v>
      </c>
      <c r="E186">
        <v>90.59</v>
      </c>
      <c r="F186">
        <v>27086.41</v>
      </c>
    </row>
    <row r="187" spans="1:6" x14ac:dyDescent="0.25">
      <c r="A187" s="11" t="s">
        <v>14</v>
      </c>
      <c r="B187" s="11" t="s">
        <v>879</v>
      </c>
      <c r="C187" s="11" t="s">
        <v>880</v>
      </c>
      <c r="D187">
        <v>2058</v>
      </c>
      <c r="E187">
        <v>80.64</v>
      </c>
      <c r="F187">
        <v>165957.12</v>
      </c>
    </row>
    <row r="188" spans="1:6" x14ac:dyDescent="0.25">
      <c r="A188" s="11" t="s">
        <v>14</v>
      </c>
      <c r="B188" s="11" t="s">
        <v>881</v>
      </c>
      <c r="C188" s="11" t="s">
        <v>882</v>
      </c>
      <c r="D188">
        <v>600</v>
      </c>
      <c r="E188">
        <v>80.64</v>
      </c>
      <c r="F188">
        <v>48384</v>
      </c>
    </row>
    <row r="189" spans="1:6" x14ac:dyDescent="0.25">
      <c r="A189" s="11" t="s">
        <v>14</v>
      </c>
      <c r="B189" s="11" t="s">
        <v>883</v>
      </c>
      <c r="C189" s="11" t="s">
        <v>884</v>
      </c>
      <c r="D189">
        <v>1248</v>
      </c>
      <c r="E189">
        <v>80.64</v>
      </c>
      <c r="F189">
        <v>100638.72</v>
      </c>
    </row>
    <row r="190" spans="1:6" x14ac:dyDescent="0.25">
      <c r="A190" s="11" t="s">
        <v>14</v>
      </c>
      <c r="B190" s="11" t="s">
        <v>888</v>
      </c>
      <c r="C190" s="11" t="s">
        <v>404</v>
      </c>
      <c r="D190">
        <v>573</v>
      </c>
      <c r="E190">
        <v>79.22</v>
      </c>
      <c r="F190">
        <v>45393.06</v>
      </c>
    </row>
    <row r="191" spans="1:6" x14ac:dyDescent="0.25">
      <c r="A191" s="11" t="s">
        <v>14</v>
      </c>
      <c r="B191" s="11" t="s">
        <v>890</v>
      </c>
      <c r="C191" s="11" t="s">
        <v>559</v>
      </c>
      <c r="D191">
        <v>2234</v>
      </c>
      <c r="E191">
        <v>79.22</v>
      </c>
      <c r="F191">
        <v>176977.48</v>
      </c>
    </row>
    <row r="192" spans="1:6" x14ac:dyDescent="0.25">
      <c r="A192" s="11" t="s">
        <v>14</v>
      </c>
      <c r="B192" s="11" t="s">
        <v>891</v>
      </c>
      <c r="C192" s="11" t="s">
        <v>559</v>
      </c>
      <c r="D192">
        <v>1770</v>
      </c>
      <c r="E192">
        <v>79.22</v>
      </c>
      <c r="F192">
        <v>140219.4</v>
      </c>
    </row>
    <row r="193" spans="1:6" x14ac:dyDescent="0.25">
      <c r="A193" s="11" t="s">
        <v>14</v>
      </c>
      <c r="B193" s="11" t="s">
        <v>896</v>
      </c>
      <c r="C193" s="11" t="s">
        <v>481</v>
      </c>
      <c r="D193">
        <v>1744</v>
      </c>
      <c r="E193">
        <v>79.22</v>
      </c>
      <c r="F193">
        <v>138159.67999999999</v>
      </c>
    </row>
    <row r="194" spans="1:6" x14ac:dyDescent="0.25">
      <c r="A194" s="11" t="s">
        <v>14</v>
      </c>
      <c r="B194" s="11" t="s">
        <v>897</v>
      </c>
      <c r="C194" s="11" t="s">
        <v>898</v>
      </c>
      <c r="D194">
        <v>121</v>
      </c>
      <c r="E194">
        <v>79.22</v>
      </c>
      <c r="F194">
        <v>9585.6200000000008</v>
      </c>
    </row>
    <row r="195" spans="1:6" x14ac:dyDescent="0.25">
      <c r="A195" s="11" t="s">
        <v>14</v>
      </c>
      <c r="B195" s="11" t="s">
        <v>900</v>
      </c>
      <c r="C195" s="11" t="s">
        <v>448</v>
      </c>
      <c r="D195">
        <v>387</v>
      </c>
      <c r="E195">
        <v>79.22</v>
      </c>
      <c r="F195">
        <v>30658.14</v>
      </c>
    </row>
    <row r="196" spans="1:6" x14ac:dyDescent="0.25">
      <c r="A196" s="11" t="s">
        <v>14</v>
      </c>
      <c r="B196" s="11" t="s">
        <v>901</v>
      </c>
      <c r="C196" s="11" t="s">
        <v>412</v>
      </c>
      <c r="D196">
        <v>174</v>
      </c>
      <c r="E196">
        <v>79.22</v>
      </c>
      <c r="F196">
        <v>13784.28</v>
      </c>
    </row>
    <row r="197" spans="1:6" x14ac:dyDescent="0.25">
      <c r="A197" s="11" t="s">
        <v>14</v>
      </c>
      <c r="B197" s="11" t="s">
        <v>907</v>
      </c>
      <c r="C197" s="11" t="s">
        <v>906</v>
      </c>
      <c r="D197">
        <v>1508</v>
      </c>
      <c r="E197">
        <v>79.22</v>
      </c>
      <c r="F197">
        <v>119463.76</v>
      </c>
    </row>
    <row r="198" spans="1:6" x14ac:dyDescent="0.25">
      <c r="A198" s="11" t="s">
        <v>14</v>
      </c>
      <c r="B198" s="11" t="s">
        <v>908</v>
      </c>
      <c r="C198" s="11" t="s">
        <v>909</v>
      </c>
      <c r="D198">
        <v>301</v>
      </c>
      <c r="E198">
        <v>79.22</v>
      </c>
      <c r="F198">
        <v>23845.22</v>
      </c>
    </row>
    <row r="199" spans="1:6" x14ac:dyDescent="0.25">
      <c r="A199" s="11" t="s">
        <v>14</v>
      </c>
      <c r="B199" s="11" t="s">
        <v>908</v>
      </c>
      <c r="C199" s="11" t="s">
        <v>909</v>
      </c>
      <c r="D199">
        <v>1809</v>
      </c>
      <c r="E199">
        <v>79.22</v>
      </c>
      <c r="F199">
        <v>143308.98000000001</v>
      </c>
    </row>
    <row r="200" spans="1:6" x14ac:dyDescent="0.25">
      <c r="A200" s="11" t="s">
        <v>14</v>
      </c>
      <c r="B200" s="11" t="s">
        <v>911</v>
      </c>
      <c r="C200" s="11" t="s">
        <v>521</v>
      </c>
      <c r="D200">
        <v>753</v>
      </c>
      <c r="E200">
        <v>79.22</v>
      </c>
      <c r="F200">
        <v>59652.66</v>
      </c>
    </row>
    <row r="201" spans="1:6" x14ac:dyDescent="0.25">
      <c r="A201" s="11" t="s">
        <v>14</v>
      </c>
      <c r="B201" s="11" t="s">
        <v>916</v>
      </c>
      <c r="C201" s="11" t="s">
        <v>866</v>
      </c>
      <c r="D201">
        <v>-2471</v>
      </c>
      <c r="E201">
        <v>84.32</v>
      </c>
      <c r="F201">
        <v>-208354.72</v>
      </c>
    </row>
    <row r="202" spans="1:6" x14ac:dyDescent="0.25">
      <c r="A202" s="11" t="s">
        <v>14</v>
      </c>
      <c r="B202" s="11" t="s">
        <v>927</v>
      </c>
      <c r="C202" s="11" t="s">
        <v>928</v>
      </c>
      <c r="D202">
        <v>-20</v>
      </c>
      <c r="E202">
        <v>90.59</v>
      </c>
      <c r="F202">
        <v>-1811.8</v>
      </c>
    </row>
    <row r="203" spans="1:6" x14ac:dyDescent="0.25">
      <c r="A203" s="11" t="s">
        <v>14</v>
      </c>
      <c r="B203" s="11" t="s">
        <v>929</v>
      </c>
      <c r="C203" s="11" t="s">
        <v>448</v>
      </c>
      <c r="D203">
        <v>-573</v>
      </c>
      <c r="E203">
        <v>79.22</v>
      </c>
      <c r="F203">
        <v>-45393.06</v>
      </c>
    </row>
    <row r="204" spans="1:6" x14ac:dyDescent="0.25">
      <c r="A204" s="11" t="s">
        <v>284</v>
      </c>
      <c r="B204">
        <v>19749</v>
      </c>
      <c r="C204">
        <v>81.788164393090398</v>
      </c>
      <c r="D204">
        <v>1605313.17</v>
      </c>
    </row>
    <row r="205" spans="1:6" x14ac:dyDescent="0.25">
      <c r="A205" s="11" t="s">
        <v>793</v>
      </c>
    </row>
    <row r="206" spans="1:6" x14ac:dyDescent="0.25">
      <c r="A206" s="11" t="s">
        <v>14</v>
      </c>
      <c r="B206" s="11" t="s">
        <v>930</v>
      </c>
      <c r="C206" s="11" t="s">
        <v>440</v>
      </c>
      <c r="D206">
        <v>6</v>
      </c>
      <c r="E206">
        <v>7725</v>
      </c>
      <c r="F206">
        <v>46350</v>
      </c>
    </row>
    <row r="207" spans="1:6" x14ac:dyDescent="0.25">
      <c r="A207" s="11" t="s">
        <v>14</v>
      </c>
      <c r="B207" s="11" t="s">
        <v>931</v>
      </c>
      <c r="C207" s="11" t="s">
        <v>932</v>
      </c>
      <c r="D207">
        <v>6</v>
      </c>
      <c r="E207">
        <v>7725</v>
      </c>
      <c r="F207">
        <v>46350</v>
      </c>
    </row>
    <row r="208" spans="1:6" x14ac:dyDescent="0.25">
      <c r="A208" s="11" t="s">
        <v>14</v>
      </c>
      <c r="B208" s="11" t="s">
        <v>931</v>
      </c>
      <c r="C208" s="11" t="s">
        <v>932</v>
      </c>
      <c r="D208">
        <v>6</v>
      </c>
      <c r="E208">
        <v>7725</v>
      </c>
      <c r="F208">
        <v>46350</v>
      </c>
    </row>
    <row r="209" spans="1:6" x14ac:dyDescent="0.25">
      <c r="A209" s="11" t="s">
        <v>14</v>
      </c>
      <c r="B209" s="11" t="s">
        <v>931</v>
      </c>
      <c r="C209" s="11" t="s">
        <v>932</v>
      </c>
      <c r="D209">
        <v>1</v>
      </c>
      <c r="E209">
        <v>7725</v>
      </c>
      <c r="F209">
        <v>7725</v>
      </c>
    </row>
    <row r="210" spans="1:6" x14ac:dyDescent="0.25">
      <c r="A210" s="11" t="s">
        <v>14</v>
      </c>
      <c r="B210" s="11" t="s">
        <v>931</v>
      </c>
      <c r="C210" s="11" t="s">
        <v>932</v>
      </c>
      <c r="D210">
        <v>6</v>
      </c>
      <c r="E210">
        <v>7725</v>
      </c>
      <c r="F210">
        <v>46350</v>
      </c>
    </row>
    <row r="211" spans="1:6" x14ac:dyDescent="0.25">
      <c r="A211" s="11" t="s">
        <v>14</v>
      </c>
      <c r="B211" s="11" t="s">
        <v>933</v>
      </c>
      <c r="C211" s="11" t="s">
        <v>934</v>
      </c>
      <c r="D211">
        <v>5</v>
      </c>
      <c r="E211">
        <v>7725</v>
      </c>
      <c r="F211">
        <v>38625</v>
      </c>
    </row>
    <row r="212" spans="1:6" x14ac:dyDescent="0.25">
      <c r="A212" s="11" t="s">
        <v>14</v>
      </c>
      <c r="B212" s="11" t="s">
        <v>935</v>
      </c>
      <c r="C212" s="11" t="s">
        <v>936</v>
      </c>
      <c r="D212">
        <v>5</v>
      </c>
      <c r="E212">
        <v>7081</v>
      </c>
      <c r="F212">
        <v>35405</v>
      </c>
    </row>
    <row r="213" spans="1:6" x14ac:dyDescent="0.25">
      <c r="A213" s="11" t="s">
        <v>797</v>
      </c>
      <c r="B213">
        <v>35</v>
      </c>
      <c r="C213">
        <v>7633</v>
      </c>
      <c r="D213">
        <v>267155</v>
      </c>
    </row>
    <row r="214" spans="1:6" x14ac:dyDescent="0.25">
      <c r="A214" s="11" t="s">
        <v>798</v>
      </c>
    </row>
    <row r="215" spans="1:6" x14ac:dyDescent="0.25">
      <c r="A215" s="11" t="s">
        <v>14</v>
      </c>
      <c r="B215" s="11" t="s">
        <v>912</v>
      </c>
      <c r="C215" s="11" t="s">
        <v>913</v>
      </c>
      <c r="D215">
        <v>1067</v>
      </c>
      <c r="E215">
        <v>85.71</v>
      </c>
      <c r="F215">
        <v>91452.57</v>
      </c>
    </row>
    <row r="216" spans="1:6" x14ac:dyDescent="0.25">
      <c r="A216" s="11" t="s">
        <v>14</v>
      </c>
      <c r="B216" s="11" t="s">
        <v>914</v>
      </c>
      <c r="C216" s="11" t="s">
        <v>453</v>
      </c>
      <c r="D216">
        <v>1406</v>
      </c>
      <c r="E216">
        <v>85.71</v>
      </c>
      <c r="F216">
        <v>120508.26</v>
      </c>
    </row>
    <row r="217" spans="1:6" x14ac:dyDescent="0.25">
      <c r="A217" s="11" t="s">
        <v>799</v>
      </c>
      <c r="B217">
        <v>2473</v>
      </c>
      <c r="C217">
        <v>85.71</v>
      </c>
      <c r="D217">
        <v>211960.83</v>
      </c>
    </row>
    <row r="218" spans="1:6" x14ac:dyDescent="0.25">
      <c r="A218" s="11" t="s">
        <v>814</v>
      </c>
    </row>
    <row r="219" spans="1:6" x14ac:dyDescent="0.25">
      <c r="A219" s="11" t="s">
        <v>14</v>
      </c>
      <c r="B219" s="11" t="s">
        <v>873</v>
      </c>
      <c r="C219" s="11" t="s">
        <v>489</v>
      </c>
      <c r="D219">
        <v>681</v>
      </c>
      <c r="E219">
        <v>99.77</v>
      </c>
      <c r="F219">
        <v>67943.37</v>
      </c>
    </row>
    <row r="220" spans="1:6" x14ac:dyDescent="0.25">
      <c r="A220" s="11" t="s">
        <v>14</v>
      </c>
      <c r="B220" s="11" t="s">
        <v>875</v>
      </c>
      <c r="C220" s="11" t="s">
        <v>876</v>
      </c>
      <c r="D220">
        <v>219</v>
      </c>
      <c r="E220">
        <v>99.77</v>
      </c>
      <c r="F220">
        <v>21849.63</v>
      </c>
    </row>
    <row r="221" spans="1:6" x14ac:dyDescent="0.25">
      <c r="A221" s="11" t="s">
        <v>14</v>
      </c>
      <c r="B221" s="11" t="s">
        <v>887</v>
      </c>
      <c r="C221" s="11" t="s">
        <v>376</v>
      </c>
      <c r="D221">
        <v>634</v>
      </c>
      <c r="E221">
        <v>99.77</v>
      </c>
      <c r="F221">
        <v>63254.18</v>
      </c>
    </row>
    <row r="222" spans="1:6" x14ac:dyDescent="0.25">
      <c r="A222" s="11" t="s">
        <v>14</v>
      </c>
      <c r="B222" s="11" t="s">
        <v>902</v>
      </c>
      <c r="C222" s="11" t="s">
        <v>412</v>
      </c>
      <c r="D222">
        <v>316</v>
      </c>
      <c r="E222">
        <v>99.77</v>
      </c>
      <c r="F222">
        <v>31527.32</v>
      </c>
    </row>
    <row r="223" spans="1:6" x14ac:dyDescent="0.25">
      <c r="A223" s="11" t="s">
        <v>14</v>
      </c>
      <c r="B223" s="11" t="s">
        <v>937</v>
      </c>
      <c r="C223" s="11" t="s">
        <v>448</v>
      </c>
      <c r="D223">
        <v>-195.5</v>
      </c>
      <c r="E223">
        <v>99.77</v>
      </c>
      <c r="F223">
        <v>-19505.035</v>
      </c>
    </row>
    <row r="224" spans="1:6" x14ac:dyDescent="0.25">
      <c r="A224" s="11" t="s">
        <v>815</v>
      </c>
      <c r="B224">
        <v>1654.5</v>
      </c>
      <c r="C224">
        <v>99.77</v>
      </c>
      <c r="D224">
        <v>165069.465</v>
      </c>
    </row>
    <row r="225" spans="1:4" x14ac:dyDescent="0.25">
      <c r="A225" s="11" t="s">
        <v>816</v>
      </c>
      <c r="B225">
        <v>5544255.4050000003</v>
      </c>
    </row>
    <row r="226" spans="1:4" x14ac:dyDescent="0.25">
      <c r="A226" s="11" t="s">
        <v>338</v>
      </c>
      <c r="B226" s="11" t="s">
        <v>14</v>
      </c>
      <c r="C226" s="11" t="s">
        <v>14</v>
      </c>
      <c r="D226">
        <v>5544255.4050000003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6C9C-F054-4984-9D28-17DD3AACA007}">
  <dimension ref="A1:F157"/>
  <sheetViews>
    <sheetView workbookViewId="0">
      <selection activeCell="B2" sqref="B2"/>
    </sheetView>
  </sheetViews>
  <sheetFormatPr defaultRowHeight="15" x14ac:dyDescent="0.25"/>
  <cols>
    <col min="1" max="1" width="55.85546875" bestFit="1" customWidth="1"/>
    <col min="2" max="2" width="11" bestFit="1" customWidth="1"/>
    <col min="3" max="3" width="12" bestFit="1" customWidth="1"/>
    <col min="4" max="4" width="11" bestFit="1" customWidth="1"/>
    <col min="5" max="5" width="8.85546875" bestFit="1" customWidth="1"/>
    <col min="6" max="6" width="10" bestFit="1" customWidth="1"/>
  </cols>
  <sheetData>
    <row r="1" spans="1:6" x14ac:dyDescent="0.25">
      <c r="A1" t="s">
        <v>339</v>
      </c>
      <c r="B1" s="12">
        <f>SUM(B13,B16,B24,B33,B37,B45,B53,B62,B82,B86,B89,B92,B95,B98,B108,B120,B138,B141,B146,B151,B155)</f>
        <v>70539</v>
      </c>
    </row>
    <row r="2" spans="1:6" x14ac:dyDescent="0.25">
      <c r="A2" t="s">
        <v>342</v>
      </c>
      <c r="B2" s="12">
        <f>B79</f>
        <v>14181</v>
      </c>
    </row>
    <row r="3" spans="1:6" x14ac:dyDescent="0.25">
      <c r="A3" t="s">
        <v>340</v>
      </c>
      <c r="B3" s="12">
        <v>0</v>
      </c>
    </row>
    <row r="4" spans="1:6" ht="15.75" thickBot="1" x14ac:dyDescent="0.3">
      <c r="A4" t="s">
        <v>341</v>
      </c>
      <c r="B4" s="13">
        <f>SUM(B1:B3)</f>
        <v>84720</v>
      </c>
    </row>
    <row r="5" spans="1:6" ht="15.75" thickTop="1" x14ac:dyDescent="0.25"/>
    <row r="6" spans="1:6" x14ac:dyDescent="0.25">
      <c r="A6" s="11" t="s">
        <v>12</v>
      </c>
    </row>
    <row r="7" spans="1:6" x14ac:dyDescent="0.25">
      <c r="A7" s="11" t="s">
        <v>13</v>
      </c>
    </row>
    <row r="8" spans="1:6" x14ac:dyDescent="0.25">
      <c r="A8" s="11" t="s">
        <v>14</v>
      </c>
      <c r="B8" s="11" t="s">
        <v>15</v>
      </c>
      <c r="C8" s="11" t="s">
        <v>16</v>
      </c>
      <c r="D8" s="11" t="s">
        <v>17</v>
      </c>
      <c r="E8" s="11" t="s">
        <v>18</v>
      </c>
      <c r="F8" s="11" t="s">
        <v>19</v>
      </c>
    </row>
    <row r="9" spans="1:6" x14ac:dyDescent="0.25">
      <c r="A9" s="11" t="s">
        <v>741</v>
      </c>
    </row>
    <row r="10" spans="1:6" x14ac:dyDescent="0.25">
      <c r="A10" s="11" t="s">
        <v>938</v>
      </c>
    </row>
    <row r="11" spans="1:6" x14ac:dyDescent="0.25">
      <c r="A11" s="11" t="s">
        <v>14</v>
      </c>
      <c r="B11" s="11" t="s">
        <v>939</v>
      </c>
      <c r="C11" s="11" t="s">
        <v>940</v>
      </c>
      <c r="D11">
        <v>557</v>
      </c>
      <c r="E11">
        <v>109.63</v>
      </c>
      <c r="F11">
        <v>61063.91</v>
      </c>
    </row>
    <row r="12" spans="1:6" x14ac:dyDescent="0.25">
      <c r="A12" s="11" t="s">
        <v>14</v>
      </c>
      <c r="B12" s="11" t="s">
        <v>941</v>
      </c>
      <c r="C12" s="11" t="s">
        <v>942</v>
      </c>
      <c r="D12">
        <v>508</v>
      </c>
      <c r="E12">
        <v>109.63</v>
      </c>
      <c r="F12">
        <v>55692.04</v>
      </c>
    </row>
    <row r="13" spans="1:6" x14ac:dyDescent="0.25">
      <c r="A13" s="11" t="s">
        <v>943</v>
      </c>
      <c r="B13">
        <v>1065</v>
      </c>
      <c r="C13">
        <v>109.63</v>
      </c>
      <c r="D13">
        <v>116755.95</v>
      </c>
    </row>
    <row r="14" spans="1:6" x14ac:dyDescent="0.25">
      <c r="A14" s="11" t="s">
        <v>944</v>
      </c>
    </row>
    <row r="15" spans="1:6" x14ac:dyDescent="0.25">
      <c r="A15" s="11" t="s">
        <v>14</v>
      </c>
      <c r="B15" s="11" t="s">
        <v>939</v>
      </c>
      <c r="C15" s="11" t="s">
        <v>940</v>
      </c>
      <c r="D15">
        <v>1002</v>
      </c>
      <c r="E15">
        <v>109.63</v>
      </c>
      <c r="F15">
        <v>109849.26</v>
      </c>
    </row>
    <row r="16" spans="1:6" x14ac:dyDescent="0.25">
      <c r="A16" s="11" t="s">
        <v>945</v>
      </c>
      <c r="B16">
        <v>1002</v>
      </c>
      <c r="C16">
        <v>109.63</v>
      </c>
      <c r="D16">
        <v>109849.26</v>
      </c>
    </row>
    <row r="17" spans="1:6" x14ac:dyDescent="0.25">
      <c r="A17" s="11" t="s">
        <v>162</v>
      </c>
    </row>
    <row r="18" spans="1:6" x14ac:dyDescent="0.25">
      <c r="A18" s="11" t="s">
        <v>14</v>
      </c>
      <c r="B18" s="11" t="s">
        <v>946</v>
      </c>
      <c r="C18" s="11" t="s">
        <v>947</v>
      </c>
      <c r="D18">
        <v>255</v>
      </c>
      <c r="E18">
        <v>78.05</v>
      </c>
      <c r="F18">
        <v>19902.75</v>
      </c>
    </row>
    <row r="19" spans="1:6" x14ac:dyDescent="0.25">
      <c r="A19" s="11" t="s">
        <v>14</v>
      </c>
      <c r="B19" s="11" t="s">
        <v>948</v>
      </c>
      <c r="C19" s="11" t="s">
        <v>949</v>
      </c>
      <c r="D19">
        <v>1255</v>
      </c>
      <c r="E19">
        <v>78.05</v>
      </c>
      <c r="F19">
        <v>97952.75</v>
      </c>
    </row>
    <row r="20" spans="1:6" x14ac:dyDescent="0.25">
      <c r="A20" s="11" t="s">
        <v>14</v>
      </c>
      <c r="B20" s="11" t="s">
        <v>950</v>
      </c>
      <c r="C20" s="11" t="s">
        <v>951</v>
      </c>
      <c r="D20">
        <v>4091</v>
      </c>
      <c r="E20">
        <v>78.05</v>
      </c>
      <c r="F20">
        <v>319302.55</v>
      </c>
    </row>
    <row r="21" spans="1:6" x14ac:dyDescent="0.25">
      <c r="A21" s="11" t="s">
        <v>14</v>
      </c>
      <c r="B21" s="11" t="s">
        <v>952</v>
      </c>
      <c r="C21" s="11" t="s">
        <v>209</v>
      </c>
      <c r="D21">
        <v>4871</v>
      </c>
      <c r="E21">
        <v>78.05</v>
      </c>
      <c r="F21">
        <v>380181.55</v>
      </c>
    </row>
    <row r="22" spans="1:6" x14ac:dyDescent="0.25">
      <c r="A22" s="11" t="s">
        <v>14</v>
      </c>
      <c r="B22" s="11" t="s">
        <v>953</v>
      </c>
      <c r="C22" s="11" t="s">
        <v>949</v>
      </c>
      <c r="D22">
        <v>1133</v>
      </c>
      <c r="E22">
        <v>78.05</v>
      </c>
      <c r="F22">
        <v>88430.65</v>
      </c>
    </row>
    <row r="23" spans="1:6" x14ac:dyDescent="0.25">
      <c r="A23" s="11" t="s">
        <v>14</v>
      </c>
      <c r="B23" s="11" t="s">
        <v>954</v>
      </c>
      <c r="C23" s="11" t="s">
        <v>949</v>
      </c>
      <c r="D23">
        <v>-1255</v>
      </c>
      <c r="E23">
        <v>78.05</v>
      </c>
      <c r="F23">
        <v>-97952.75</v>
      </c>
    </row>
    <row r="24" spans="1:6" x14ac:dyDescent="0.25">
      <c r="A24" s="11" t="s">
        <v>167</v>
      </c>
      <c r="B24">
        <v>10350</v>
      </c>
      <c r="C24">
        <v>78.05</v>
      </c>
      <c r="D24">
        <v>807817.5</v>
      </c>
    </row>
    <row r="25" spans="1:6" x14ac:dyDescent="0.25">
      <c r="A25" s="11" t="s">
        <v>170</v>
      </c>
    </row>
    <row r="26" spans="1:6" x14ac:dyDescent="0.25">
      <c r="A26" s="11" t="s">
        <v>14</v>
      </c>
      <c r="B26" s="11" t="s">
        <v>946</v>
      </c>
      <c r="C26" s="11" t="s">
        <v>947</v>
      </c>
      <c r="D26">
        <v>270</v>
      </c>
      <c r="E26">
        <v>79.89</v>
      </c>
      <c r="F26">
        <v>21570.3</v>
      </c>
    </row>
    <row r="27" spans="1:6" x14ac:dyDescent="0.25">
      <c r="A27" s="11" t="s">
        <v>14</v>
      </c>
      <c r="B27" s="11" t="s">
        <v>948</v>
      </c>
      <c r="C27" s="11" t="s">
        <v>949</v>
      </c>
      <c r="D27">
        <v>1133</v>
      </c>
      <c r="E27">
        <v>79.89</v>
      </c>
      <c r="F27">
        <v>90515.37</v>
      </c>
    </row>
    <row r="28" spans="1:6" x14ac:dyDescent="0.25">
      <c r="A28" s="11" t="s">
        <v>14</v>
      </c>
      <c r="B28" s="11" t="s">
        <v>955</v>
      </c>
      <c r="C28" s="11" t="s">
        <v>209</v>
      </c>
      <c r="D28">
        <v>1344</v>
      </c>
      <c r="E28">
        <v>79.89</v>
      </c>
      <c r="F28">
        <v>107372.16</v>
      </c>
    </row>
    <row r="29" spans="1:6" x14ac:dyDescent="0.25">
      <c r="A29" s="11" t="s">
        <v>14</v>
      </c>
      <c r="B29" s="11" t="s">
        <v>956</v>
      </c>
      <c r="C29" s="11" t="s">
        <v>957</v>
      </c>
      <c r="D29">
        <v>2721</v>
      </c>
      <c r="E29">
        <v>79.89</v>
      </c>
      <c r="F29">
        <v>217380.69</v>
      </c>
    </row>
    <row r="30" spans="1:6" x14ac:dyDescent="0.25">
      <c r="A30" s="11" t="s">
        <v>14</v>
      </c>
      <c r="B30" s="11" t="s">
        <v>958</v>
      </c>
      <c r="C30" s="11" t="s">
        <v>951</v>
      </c>
      <c r="D30">
        <v>3769</v>
      </c>
      <c r="E30">
        <v>79.89</v>
      </c>
      <c r="F30">
        <v>301105.40999999997</v>
      </c>
    </row>
    <row r="31" spans="1:6" x14ac:dyDescent="0.25">
      <c r="A31" s="11" t="s">
        <v>14</v>
      </c>
      <c r="B31" s="11" t="s">
        <v>953</v>
      </c>
      <c r="C31" s="11" t="s">
        <v>949</v>
      </c>
      <c r="D31">
        <v>1255</v>
      </c>
      <c r="E31">
        <v>79.89</v>
      </c>
      <c r="F31">
        <v>100261.95</v>
      </c>
    </row>
    <row r="32" spans="1:6" x14ac:dyDescent="0.25">
      <c r="A32" s="11" t="s">
        <v>14</v>
      </c>
      <c r="B32" s="11" t="s">
        <v>954</v>
      </c>
      <c r="C32" s="11" t="s">
        <v>949</v>
      </c>
      <c r="D32">
        <v>-1133</v>
      </c>
      <c r="E32">
        <v>79.89</v>
      </c>
      <c r="F32">
        <v>-90515.37</v>
      </c>
    </row>
    <row r="33" spans="1:6" x14ac:dyDescent="0.25">
      <c r="A33" s="11" t="s">
        <v>171</v>
      </c>
      <c r="B33">
        <v>9359</v>
      </c>
      <c r="C33">
        <v>79.89</v>
      </c>
      <c r="D33">
        <v>747690.51</v>
      </c>
    </row>
    <row r="34" spans="1:6" x14ac:dyDescent="0.25">
      <c r="A34" s="11" t="s">
        <v>959</v>
      </c>
    </row>
    <row r="35" spans="1:6" x14ac:dyDescent="0.25">
      <c r="A35" s="11" t="s">
        <v>14</v>
      </c>
      <c r="B35" s="11" t="s">
        <v>960</v>
      </c>
      <c r="C35" s="11" t="s">
        <v>961</v>
      </c>
      <c r="D35">
        <v>4092</v>
      </c>
      <c r="E35">
        <v>62.25</v>
      </c>
      <c r="F35">
        <v>254727</v>
      </c>
    </row>
    <row r="36" spans="1:6" x14ac:dyDescent="0.25">
      <c r="A36" s="11" t="s">
        <v>14</v>
      </c>
      <c r="B36" s="11" t="s">
        <v>962</v>
      </c>
      <c r="C36" s="11" t="s">
        <v>961</v>
      </c>
      <c r="D36">
        <v>7249</v>
      </c>
      <c r="E36">
        <v>62.25</v>
      </c>
      <c r="F36">
        <v>451250.25</v>
      </c>
    </row>
    <row r="37" spans="1:6" x14ac:dyDescent="0.25">
      <c r="A37" s="11" t="s">
        <v>963</v>
      </c>
      <c r="B37">
        <v>11341</v>
      </c>
      <c r="C37">
        <v>62.25</v>
      </c>
      <c r="D37">
        <v>705977.25</v>
      </c>
    </row>
    <row r="38" spans="1:6" x14ac:dyDescent="0.25">
      <c r="A38" s="11" t="s">
        <v>836</v>
      </c>
    </row>
    <row r="39" spans="1:6" x14ac:dyDescent="0.25">
      <c r="A39" s="11" t="s">
        <v>14</v>
      </c>
      <c r="B39" s="11" t="s">
        <v>964</v>
      </c>
      <c r="C39" s="11" t="s">
        <v>965</v>
      </c>
      <c r="D39">
        <v>504</v>
      </c>
      <c r="E39">
        <v>101.87</v>
      </c>
      <c r="F39">
        <v>51342.48</v>
      </c>
    </row>
    <row r="40" spans="1:6" x14ac:dyDescent="0.25">
      <c r="A40" s="11" t="s">
        <v>14</v>
      </c>
      <c r="B40" s="11" t="s">
        <v>966</v>
      </c>
      <c r="C40" s="11" t="s">
        <v>967</v>
      </c>
      <c r="D40">
        <v>635</v>
      </c>
      <c r="E40">
        <v>101.87</v>
      </c>
      <c r="F40">
        <v>64687.45</v>
      </c>
    </row>
    <row r="41" spans="1:6" x14ac:dyDescent="0.25">
      <c r="A41" s="11" t="s">
        <v>14</v>
      </c>
      <c r="B41" s="11" t="s">
        <v>968</v>
      </c>
      <c r="C41" s="11" t="s">
        <v>969</v>
      </c>
      <c r="D41">
        <v>1087</v>
      </c>
      <c r="E41">
        <v>91.63</v>
      </c>
      <c r="F41">
        <v>99601.81</v>
      </c>
    </row>
    <row r="42" spans="1:6" x14ac:dyDescent="0.25">
      <c r="A42" s="11" t="s">
        <v>14</v>
      </c>
      <c r="B42" s="11" t="s">
        <v>970</v>
      </c>
      <c r="C42" s="11" t="s">
        <v>971</v>
      </c>
      <c r="D42">
        <v>1204</v>
      </c>
      <c r="E42">
        <v>91.63</v>
      </c>
      <c r="F42">
        <v>110322.52</v>
      </c>
    </row>
    <row r="43" spans="1:6" x14ac:dyDescent="0.25">
      <c r="A43" s="11" t="s">
        <v>14</v>
      </c>
      <c r="B43" s="11" t="s">
        <v>972</v>
      </c>
      <c r="C43" s="11" t="s">
        <v>973</v>
      </c>
      <c r="D43">
        <v>64</v>
      </c>
      <c r="E43">
        <v>86.49</v>
      </c>
      <c r="F43">
        <v>5535.36</v>
      </c>
    </row>
    <row r="44" spans="1:6" x14ac:dyDescent="0.25">
      <c r="A44" s="11" t="s">
        <v>14</v>
      </c>
      <c r="B44" s="11" t="s">
        <v>974</v>
      </c>
      <c r="C44" s="11" t="s">
        <v>975</v>
      </c>
      <c r="D44">
        <v>1142</v>
      </c>
      <c r="E44">
        <v>101.86</v>
      </c>
      <c r="F44">
        <v>116324.12</v>
      </c>
    </row>
    <row r="45" spans="1:6" x14ac:dyDescent="0.25">
      <c r="A45" s="11" t="s">
        <v>849</v>
      </c>
      <c r="B45">
        <v>4636</v>
      </c>
      <c r="C45">
        <v>96.594853321829206</v>
      </c>
      <c r="D45">
        <v>447813.74</v>
      </c>
    </row>
    <row r="46" spans="1:6" x14ac:dyDescent="0.25">
      <c r="A46" s="11" t="s">
        <v>249</v>
      </c>
    </row>
    <row r="47" spans="1:6" x14ac:dyDescent="0.25">
      <c r="A47" s="11" t="s">
        <v>14</v>
      </c>
      <c r="B47" s="11" t="s">
        <v>964</v>
      </c>
      <c r="C47" s="11" t="s">
        <v>965</v>
      </c>
      <c r="D47">
        <v>456</v>
      </c>
      <c r="E47">
        <v>101.3</v>
      </c>
      <c r="F47">
        <v>46192.800000000003</v>
      </c>
    </row>
    <row r="48" spans="1:6" x14ac:dyDescent="0.25">
      <c r="A48" s="11" t="s">
        <v>14</v>
      </c>
      <c r="B48" s="11" t="s">
        <v>966</v>
      </c>
      <c r="C48" s="11" t="s">
        <v>967</v>
      </c>
      <c r="D48">
        <v>594</v>
      </c>
      <c r="E48">
        <v>101.3</v>
      </c>
      <c r="F48">
        <v>60172.2</v>
      </c>
    </row>
    <row r="49" spans="1:6" x14ac:dyDescent="0.25">
      <c r="A49" s="11" t="s">
        <v>14</v>
      </c>
      <c r="B49" s="11" t="s">
        <v>976</v>
      </c>
      <c r="C49" s="11" t="s">
        <v>969</v>
      </c>
      <c r="D49">
        <v>2056</v>
      </c>
      <c r="E49">
        <v>91.09</v>
      </c>
      <c r="F49">
        <v>187281.04</v>
      </c>
    </row>
    <row r="50" spans="1:6" x14ac:dyDescent="0.25">
      <c r="A50" s="11" t="s">
        <v>14</v>
      </c>
      <c r="B50" s="11" t="s">
        <v>970</v>
      </c>
      <c r="C50" s="11" t="s">
        <v>971</v>
      </c>
      <c r="D50">
        <v>197</v>
      </c>
      <c r="E50">
        <v>91.09</v>
      </c>
      <c r="F50">
        <v>17944.73</v>
      </c>
    </row>
    <row r="51" spans="1:6" x14ac:dyDescent="0.25">
      <c r="A51" s="11" t="s">
        <v>14</v>
      </c>
      <c r="B51" s="11" t="s">
        <v>972</v>
      </c>
      <c r="C51" s="11" t="s">
        <v>973</v>
      </c>
      <c r="D51">
        <v>72</v>
      </c>
      <c r="E51">
        <v>91.26</v>
      </c>
      <c r="F51">
        <v>6570.72</v>
      </c>
    </row>
    <row r="52" spans="1:6" x14ac:dyDescent="0.25">
      <c r="A52" s="11" t="s">
        <v>14</v>
      </c>
      <c r="B52" s="11" t="s">
        <v>974</v>
      </c>
      <c r="C52" s="11" t="s">
        <v>975</v>
      </c>
      <c r="D52">
        <v>998</v>
      </c>
      <c r="E52">
        <v>101.3</v>
      </c>
      <c r="F52">
        <v>101097.4</v>
      </c>
    </row>
    <row r="53" spans="1:6" x14ac:dyDescent="0.25">
      <c r="A53" s="11" t="s">
        <v>251</v>
      </c>
      <c r="B53">
        <v>4373</v>
      </c>
      <c r="C53">
        <v>95.874431740224097</v>
      </c>
      <c r="D53">
        <v>419258.89</v>
      </c>
    </row>
    <row r="54" spans="1:6" x14ac:dyDescent="0.25">
      <c r="A54" s="11" t="s">
        <v>856</v>
      </c>
    </row>
    <row r="55" spans="1:6" x14ac:dyDescent="0.25">
      <c r="A55" s="11" t="s">
        <v>14</v>
      </c>
      <c r="B55" s="11" t="s">
        <v>964</v>
      </c>
      <c r="C55" s="11" t="s">
        <v>965</v>
      </c>
      <c r="D55">
        <v>133</v>
      </c>
      <c r="E55">
        <v>86.49</v>
      </c>
      <c r="F55">
        <v>11503.17</v>
      </c>
    </row>
    <row r="56" spans="1:6" x14ac:dyDescent="0.25">
      <c r="A56" s="11" t="s">
        <v>14</v>
      </c>
      <c r="B56" s="11" t="s">
        <v>966</v>
      </c>
      <c r="C56" s="11" t="s">
        <v>967</v>
      </c>
      <c r="D56">
        <v>229</v>
      </c>
      <c r="E56">
        <v>86.49</v>
      </c>
      <c r="F56">
        <v>19806.21</v>
      </c>
    </row>
    <row r="57" spans="1:6" x14ac:dyDescent="0.25">
      <c r="A57" s="11" t="s">
        <v>14</v>
      </c>
      <c r="B57" s="11" t="s">
        <v>968</v>
      </c>
      <c r="C57" s="11" t="s">
        <v>969</v>
      </c>
      <c r="D57">
        <v>224</v>
      </c>
      <c r="E57">
        <v>85.23</v>
      </c>
      <c r="F57">
        <v>19091.52</v>
      </c>
    </row>
    <row r="58" spans="1:6" x14ac:dyDescent="0.25">
      <c r="A58" s="11" t="s">
        <v>14</v>
      </c>
      <c r="B58" s="11" t="s">
        <v>977</v>
      </c>
      <c r="C58" s="11" t="s">
        <v>978</v>
      </c>
      <c r="D58">
        <v>320</v>
      </c>
      <c r="E58">
        <v>85.23</v>
      </c>
      <c r="F58">
        <v>27273.599999999999</v>
      </c>
    </row>
    <row r="59" spans="1:6" x14ac:dyDescent="0.25">
      <c r="A59" s="11" t="s">
        <v>14</v>
      </c>
      <c r="B59" s="11" t="s">
        <v>979</v>
      </c>
      <c r="C59" s="11" t="s">
        <v>980</v>
      </c>
      <c r="D59">
        <v>141</v>
      </c>
      <c r="E59">
        <v>85.23</v>
      </c>
      <c r="F59">
        <v>12017.43</v>
      </c>
    </row>
    <row r="60" spans="1:6" x14ac:dyDescent="0.25">
      <c r="A60" s="11" t="s">
        <v>14</v>
      </c>
      <c r="B60" s="11" t="s">
        <v>981</v>
      </c>
      <c r="C60" s="11" t="s">
        <v>74</v>
      </c>
      <c r="D60">
        <v>344</v>
      </c>
      <c r="E60">
        <v>86.49</v>
      </c>
      <c r="F60">
        <v>29752.560000000001</v>
      </c>
    </row>
    <row r="61" spans="1:6" x14ac:dyDescent="0.25">
      <c r="A61" s="11" t="s">
        <v>14</v>
      </c>
      <c r="B61" s="11" t="s">
        <v>982</v>
      </c>
      <c r="C61" s="11" t="s">
        <v>76</v>
      </c>
      <c r="D61">
        <v>41</v>
      </c>
      <c r="E61">
        <v>86.49</v>
      </c>
      <c r="F61">
        <v>3546.09</v>
      </c>
    </row>
    <row r="62" spans="1:6" x14ac:dyDescent="0.25">
      <c r="A62" s="11" t="s">
        <v>862</v>
      </c>
      <c r="B62">
        <v>1432</v>
      </c>
      <c r="C62">
        <v>85.887276536312797</v>
      </c>
      <c r="D62">
        <v>122990.58</v>
      </c>
    </row>
    <row r="63" spans="1:6" x14ac:dyDescent="0.25">
      <c r="A63" s="11" t="s">
        <v>778</v>
      </c>
    </row>
    <row r="64" spans="1:6" x14ac:dyDescent="0.25">
      <c r="A64" s="11" t="s">
        <v>14</v>
      </c>
      <c r="B64" s="11" t="s">
        <v>983</v>
      </c>
      <c r="C64" s="11" t="s">
        <v>984</v>
      </c>
      <c r="D64">
        <v>1304</v>
      </c>
      <c r="E64">
        <v>0.75</v>
      </c>
      <c r="F64">
        <v>978</v>
      </c>
    </row>
    <row r="65" spans="1:6" x14ac:dyDescent="0.25">
      <c r="A65" s="11" t="s">
        <v>14</v>
      </c>
      <c r="B65" s="11" t="s">
        <v>981</v>
      </c>
      <c r="C65" s="11" t="s">
        <v>74</v>
      </c>
      <c r="D65">
        <v>344</v>
      </c>
      <c r="E65">
        <v>0.75</v>
      </c>
      <c r="F65">
        <v>258</v>
      </c>
    </row>
    <row r="66" spans="1:6" x14ac:dyDescent="0.25">
      <c r="A66" s="11" t="s">
        <v>14</v>
      </c>
      <c r="B66" s="11" t="s">
        <v>972</v>
      </c>
      <c r="C66" s="11" t="s">
        <v>973</v>
      </c>
      <c r="D66">
        <v>72</v>
      </c>
      <c r="E66">
        <v>0.75</v>
      </c>
      <c r="F66">
        <v>54</v>
      </c>
    </row>
    <row r="67" spans="1:6" x14ac:dyDescent="0.25">
      <c r="A67" s="11" t="s">
        <v>14</v>
      </c>
      <c r="B67" s="11" t="s">
        <v>972</v>
      </c>
      <c r="C67" s="11" t="s">
        <v>973</v>
      </c>
      <c r="D67">
        <v>64</v>
      </c>
      <c r="E67">
        <v>0.75</v>
      </c>
      <c r="F67">
        <v>48</v>
      </c>
    </row>
    <row r="68" spans="1:6" x14ac:dyDescent="0.25">
      <c r="A68" s="11" t="s">
        <v>14</v>
      </c>
      <c r="B68" s="11" t="s">
        <v>982</v>
      </c>
      <c r="C68" s="11" t="s">
        <v>76</v>
      </c>
      <c r="D68">
        <v>41</v>
      </c>
      <c r="E68">
        <v>0.75</v>
      </c>
      <c r="F68">
        <v>30.75</v>
      </c>
    </row>
    <row r="69" spans="1:6" x14ac:dyDescent="0.25">
      <c r="A69" s="11" t="s">
        <v>14</v>
      </c>
      <c r="B69" s="11" t="s">
        <v>985</v>
      </c>
      <c r="C69" s="11" t="s">
        <v>76</v>
      </c>
      <c r="D69">
        <v>635</v>
      </c>
      <c r="E69">
        <v>0.75</v>
      </c>
      <c r="F69">
        <v>476.25</v>
      </c>
    </row>
    <row r="70" spans="1:6" x14ac:dyDescent="0.25">
      <c r="A70" s="11" t="s">
        <v>14</v>
      </c>
      <c r="B70" s="11" t="s">
        <v>974</v>
      </c>
      <c r="C70" s="11" t="s">
        <v>975</v>
      </c>
      <c r="D70">
        <v>2140</v>
      </c>
      <c r="E70">
        <v>0.75</v>
      </c>
      <c r="F70">
        <v>1605</v>
      </c>
    </row>
    <row r="71" spans="1:6" x14ac:dyDescent="0.25">
      <c r="A71" s="11" t="s">
        <v>14</v>
      </c>
      <c r="B71" s="11" t="s">
        <v>986</v>
      </c>
      <c r="C71" s="11" t="s">
        <v>987</v>
      </c>
      <c r="D71">
        <v>663</v>
      </c>
      <c r="E71">
        <v>0.75</v>
      </c>
      <c r="F71">
        <v>497.25</v>
      </c>
    </row>
    <row r="72" spans="1:6" x14ac:dyDescent="0.25">
      <c r="A72" s="11" t="s">
        <v>14</v>
      </c>
      <c r="B72" s="11" t="s">
        <v>988</v>
      </c>
      <c r="C72" s="11" t="s">
        <v>987</v>
      </c>
      <c r="D72">
        <v>2161</v>
      </c>
      <c r="E72">
        <v>0.75</v>
      </c>
      <c r="F72">
        <v>1620.75</v>
      </c>
    </row>
    <row r="73" spans="1:6" x14ac:dyDescent="0.25">
      <c r="A73" s="11" t="s">
        <v>14</v>
      </c>
      <c r="B73" s="11" t="s">
        <v>989</v>
      </c>
      <c r="C73" s="11" t="s">
        <v>39</v>
      </c>
      <c r="D73">
        <v>1264</v>
      </c>
      <c r="E73">
        <v>0.75</v>
      </c>
      <c r="F73">
        <v>948</v>
      </c>
    </row>
    <row r="74" spans="1:6" x14ac:dyDescent="0.25">
      <c r="A74" s="11" t="s">
        <v>14</v>
      </c>
      <c r="B74" s="11" t="s">
        <v>990</v>
      </c>
      <c r="C74" s="11" t="s">
        <v>273</v>
      </c>
      <c r="D74">
        <v>1249</v>
      </c>
      <c r="E74">
        <v>0.75</v>
      </c>
      <c r="F74">
        <v>936.75</v>
      </c>
    </row>
    <row r="75" spans="1:6" x14ac:dyDescent="0.25">
      <c r="A75" s="11" t="s">
        <v>14</v>
      </c>
      <c r="B75" s="11" t="s">
        <v>991</v>
      </c>
      <c r="C75" s="11" t="s">
        <v>273</v>
      </c>
      <c r="D75">
        <v>2120</v>
      </c>
      <c r="E75">
        <v>0.75</v>
      </c>
      <c r="F75">
        <v>1590</v>
      </c>
    </row>
    <row r="76" spans="1:6" x14ac:dyDescent="0.25">
      <c r="A76" s="11" t="s">
        <v>14</v>
      </c>
      <c r="B76" s="11" t="s">
        <v>992</v>
      </c>
      <c r="C76" s="11" t="s">
        <v>78</v>
      </c>
      <c r="D76">
        <v>1133</v>
      </c>
      <c r="E76">
        <v>0.75</v>
      </c>
      <c r="F76">
        <v>849.75</v>
      </c>
    </row>
    <row r="77" spans="1:6" x14ac:dyDescent="0.25">
      <c r="A77" s="11" t="s">
        <v>14</v>
      </c>
      <c r="B77" s="11" t="s">
        <v>993</v>
      </c>
      <c r="C77" s="11" t="s">
        <v>78</v>
      </c>
      <c r="D77">
        <v>590</v>
      </c>
      <c r="E77">
        <v>0.75</v>
      </c>
      <c r="F77">
        <v>442.5</v>
      </c>
    </row>
    <row r="78" spans="1:6" x14ac:dyDescent="0.25">
      <c r="A78" s="11" t="s">
        <v>14</v>
      </c>
      <c r="B78" s="11" t="s">
        <v>994</v>
      </c>
      <c r="C78" s="11" t="s">
        <v>188</v>
      </c>
      <c r="D78">
        <v>401</v>
      </c>
      <c r="E78">
        <v>0.75</v>
      </c>
      <c r="F78">
        <v>300.75</v>
      </c>
    </row>
    <row r="79" spans="1:6" x14ac:dyDescent="0.25">
      <c r="A79" s="11" t="s">
        <v>790</v>
      </c>
      <c r="B79">
        <v>14181</v>
      </c>
      <c r="C79">
        <v>0.75</v>
      </c>
      <c r="D79">
        <v>10635.75</v>
      </c>
    </row>
    <row r="80" spans="1:6" x14ac:dyDescent="0.25">
      <c r="A80" s="11" t="s">
        <v>995</v>
      </c>
    </row>
    <row r="81" spans="1:6" x14ac:dyDescent="0.25">
      <c r="A81" s="11" t="s">
        <v>14</v>
      </c>
      <c r="B81" s="11" t="s">
        <v>996</v>
      </c>
      <c r="C81" s="11" t="s">
        <v>61</v>
      </c>
      <c r="D81">
        <v>558</v>
      </c>
      <c r="E81">
        <v>104.97</v>
      </c>
      <c r="F81">
        <v>58573.26</v>
      </c>
    </row>
    <row r="82" spans="1:6" x14ac:dyDescent="0.25">
      <c r="A82" s="11" t="s">
        <v>997</v>
      </c>
      <c r="B82">
        <v>558</v>
      </c>
      <c r="C82">
        <v>104.97</v>
      </c>
      <c r="D82">
        <v>58573.26</v>
      </c>
    </row>
    <row r="83" spans="1:6" x14ac:dyDescent="0.25">
      <c r="A83" s="11" t="s">
        <v>998</v>
      </c>
    </row>
    <row r="84" spans="1:6" x14ac:dyDescent="0.25">
      <c r="A84" s="11" t="s">
        <v>14</v>
      </c>
      <c r="B84" s="11" t="s">
        <v>996</v>
      </c>
      <c r="C84" s="11" t="s">
        <v>61</v>
      </c>
      <c r="D84">
        <v>569</v>
      </c>
      <c r="E84">
        <v>104.97</v>
      </c>
      <c r="F84">
        <v>59727.93</v>
      </c>
    </row>
    <row r="85" spans="1:6" x14ac:dyDescent="0.25">
      <c r="A85" s="11" t="s">
        <v>14</v>
      </c>
      <c r="B85" s="11" t="s">
        <v>985</v>
      </c>
      <c r="C85" s="11" t="s">
        <v>76</v>
      </c>
      <c r="D85">
        <v>635</v>
      </c>
      <c r="E85">
        <v>117.85</v>
      </c>
      <c r="F85">
        <v>74834.75</v>
      </c>
    </row>
    <row r="86" spans="1:6" x14ac:dyDescent="0.25">
      <c r="A86" s="11" t="s">
        <v>999</v>
      </c>
      <c r="B86">
        <v>1204</v>
      </c>
      <c r="C86">
        <v>111.76302325581401</v>
      </c>
      <c r="D86">
        <v>134562.68</v>
      </c>
    </row>
    <row r="87" spans="1:6" x14ac:dyDescent="0.25">
      <c r="A87" s="11" t="s">
        <v>1000</v>
      </c>
    </row>
    <row r="88" spans="1:6" x14ac:dyDescent="0.25">
      <c r="A88" s="11" t="s">
        <v>14</v>
      </c>
      <c r="B88" s="11" t="s">
        <v>996</v>
      </c>
      <c r="C88" s="11" t="s">
        <v>61</v>
      </c>
      <c r="D88">
        <v>597</v>
      </c>
      <c r="E88">
        <v>104.97</v>
      </c>
      <c r="F88">
        <v>62667.09</v>
      </c>
    </row>
    <row r="89" spans="1:6" x14ac:dyDescent="0.25">
      <c r="A89" s="11" t="s">
        <v>1001</v>
      </c>
      <c r="B89">
        <v>597</v>
      </c>
      <c r="C89">
        <v>104.97</v>
      </c>
      <c r="D89">
        <v>62667.09</v>
      </c>
    </row>
    <row r="90" spans="1:6" x14ac:dyDescent="0.25">
      <c r="A90" s="11" t="s">
        <v>1002</v>
      </c>
    </row>
    <row r="91" spans="1:6" x14ac:dyDescent="0.25">
      <c r="A91" s="11" t="s">
        <v>14</v>
      </c>
      <c r="B91" s="11" t="s">
        <v>996</v>
      </c>
      <c r="C91" s="11" t="s">
        <v>61</v>
      </c>
      <c r="D91">
        <v>662</v>
      </c>
      <c r="E91">
        <v>104.97</v>
      </c>
      <c r="F91">
        <v>69490.14</v>
      </c>
    </row>
    <row r="92" spans="1:6" x14ac:dyDescent="0.25">
      <c r="A92" s="11" t="s">
        <v>1003</v>
      </c>
      <c r="B92">
        <v>662</v>
      </c>
      <c r="C92">
        <v>104.97</v>
      </c>
      <c r="D92">
        <v>69490.14</v>
      </c>
    </row>
    <row r="93" spans="1:6" x14ac:dyDescent="0.25">
      <c r="A93" s="11" t="s">
        <v>1004</v>
      </c>
    </row>
    <row r="94" spans="1:6" x14ac:dyDescent="0.25">
      <c r="A94" s="11" t="s">
        <v>14</v>
      </c>
      <c r="B94" s="11" t="s">
        <v>996</v>
      </c>
      <c r="C94" s="11" t="s">
        <v>61</v>
      </c>
      <c r="D94">
        <v>689</v>
      </c>
      <c r="E94">
        <v>104.97</v>
      </c>
      <c r="F94">
        <v>72324.33</v>
      </c>
    </row>
    <row r="95" spans="1:6" x14ac:dyDescent="0.25">
      <c r="A95" s="11" t="s">
        <v>1005</v>
      </c>
      <c r="B95">
        <v>689</v>
      </c>
      <c r="C95">
        <v>104.97</v>
      </c>
      <c r="D95">
        <v>72324.33</v>
      </c>
    </row>
    <row r="96" spans="1:6" x14ac:dyDescent="0.25">
      <c r="A96" s="11" t="s">
        <v>1006</v>
      </c>
    </row>
    <row r="97" spans="1:6" x14ac:dyDescent="0.25">
      <c r="A97" s="11" t="s">
        <v>14</v>
      </c>
      <c r="B97" s="11" t="s">
        <v>996</v>
      </c>
      <c r="C97" s="11" t="s">
        <v>61</v>
      </c>
      <c r="D97">
        <v>621</v>
      </c>
      <c r="E97">
        <v>104.97</v>
      </c>
      <c r="F97">
        <v>65186.37</v>
      </c>
    </row>
    <row r="98" spans="1:6" x14ac:dyDescent="0.25">
      <c r="A98" s="11" t="s">
        <v>1007</v>
      </c>
      <c r="B98">
        <v>621</v>
      </c>
      <c r="C98">
        <v>104.97</v>
      </c>
      <c r="D98">
        <v>65186.37</v>
      </c>
    </row>
    <row r="99" spans="1:6" x14ac:dyDescent="0.25">
      <c r="A99" s="11" t="s">
        <v>791</v>
      </c>
    </row>
    <row r="100" spans="1:6" x14ac:dyDescent="0.25">
      <c r="A100" s="11" t="s">
        <v>14</v>
      </c>
      <c r="B100" s="11" t="s">
        <v>1008</v>
      </c>
      <c r="C100" s="11" t="s">
        <v>262</v>
      </c>
      <c r="D100">
        <v>216</v>
      </c>
      <c r="E100">
        <v>83.17</v>
      </c>
      <c r="F100">
        <v>17964.72</v>
      </c>
    </row>
    <row r="101" spans="1:6" x14ac:dyDescent="0.25">
      <c r="A101" s="11" t="s">
        <v>14</v>
      </c>
      <c r="B101" s="11" t="s">
        <v>1009</v>
      </c>
      <c r="C101" s="11" t="s">
        <v>264</v>
      </c>
      <c r="D101">
        <v>593</v>
      </c>
      <c r="E101">
        <v>83.17</v>
      </c>
      <c r="F101">
        <v>49319.81</v>
      </c>
    </row>
    <row r="102" spans="1:6" x14ac:dyDescent="0.25">
      <c r="A102" s="11" t="s">
        <v>14</v>
      </c>
      <c r="B102" s="11" t="s">
        <v>1010</v>
      </c>
      <c r="C102" s="11" t="s">
        <v>182</v>
      </c>
      <c r="D102">
        <v>579</v>
      </c>
      <c r="E102">
        <v>84.34</v>
      </c>
      <c r="F102">
        <v>48832.86</v>
      </c>
    </row>
    <row r="103" spans="1:6" x14ac:dyDescent="0.25">
      <c r="A103" s="11" t="s">
        <v>14</v>
      </c>
      <c r="B103" s="11" t="s">
        <v>1011</v>
      </c>
      <c r="C103" s="11" t="s">
        <v>965</v>
      </c>
      <c r="D103">
        <v>160</v>
      </c>
      <c r="E103">
        <v>84.34</v>
      </c>
      <c r="F103">
        <v>13494.4</v>
      </c>
    </row>
    <row r="104" spans="1:6" x14ac:dyDescent="0.25">
      <c r="A104" s="11" t="s">
        <v>14</v>
      </c>
      <c r="B104" s="11" t="s">
        <v>983</v>
      </c>
      <c r="C104" s="11" t="s">
        <v>984</v>
      </c>
      <c r="D104">
        <v>333</v>
      </c>
      <c r="E104">
        <v>87.31</v>
      </c>
      <c r="F104">
        <v>29074.23</v>
      </c>
    </row>
    <row r="105" spans="1:6" x14ac:dyDescent="0.25">
      <c r="A105" s="11" t="s">
        <v>14</v>
      </c>
      <c r="B105" s="11" t="s">
        <v>986</v>
      </c>
      <c r="C105" s="11" t="s">
        <v>987</v>
      </c>
      <c r="D105">
        <v>663</v>
      </c>
      <c r="E105">
        <v>82.07</v>
      </c>
      <c r="F105">
        <v>54412.41</v>
      </c>
    </row>
    <row r="106" spans="1:6" x14ac:dyDescent="0.25">
      <c r="A106" s="11" t="s">
        <v>14</v>
      </c>
      <c r="B106" s="11" t="s">
        <v>989</v>
      </c>
      <c r="C106" s="11" t="s">
        <v>39</v>
      </c>
      <c r="D106">
        <v>971</v>
      </c>
      <c r="E106">
        <v>82.07</v>
      </c>
      <c r="F106">
        <v>79689.97</v>
      </c>
    </row>
    <row r="107" spans="1:6" x14ac:dyDescent="0.25">
      <c r="A107" s="11" t="s">
        <v>14</v>
      </c>
      <c r="B107" s="11" t="s">
        <v>994</v>
      </c>
      <c r="C107" s="11" t="s">
        <v>188</v>
      </c>
      <c r="D107">
        <v>401</v>
      </c>
      <c r="E107">
        <v>87.31</v>
      </c>
      <c r="F107">
        <v>35011.31</v>
      </c>
    </row>
    <row r="108" spans="1:6" x14ac:dyDescent="0.25">
      <c r="A108" s="11" t="s">
        <v>792</v>
      </c>
      <c r="B108">
        <v>3916</v>
      </c>
      <c r="C108">
        <v>83.707791113381006</v>
      </c>
      <c r="D108">
        <v>327799.71000000002</v>
      </c>
    </row>
    <row r="109" spans="1:6" x14ac:dyDescent="0.25">
      <c r="A109" s="11" t="s">
        <v>282</v>
      </c>
    </row>
    <row r="110" spans="1:6" x14ac:dyDescent="0.25">
      <c r="A110" s="11" t="s">
        <v>14</v>
      </c>
      <c r="B110" s="11" t="s">
        <v>1008</v>
      </c>
      <c r="C110" s="11" t="s">
        <v>262</v>
      </c>
      <c r="D110">
        <v>604</v>
      </c>
      <c r="E110">
        <v>75.3</v>
      </c>
      <c r="F110">
        <v>45481.2</v>
      </c>
    </row>
    <row r="111" spans="1:6" x14ac:dyDescent="0.25">
      <c r="A111" s="11" t="s">
        <v>14</v>
      </c>
      <c r="B111" s="11" t="s">
        <v>1009</v>
      </c>
      <c r="C111" s="11" t="s">
        <v>264</v>
      </c>
      <c r="D111">
        <v>1667</v>
      </c>
      <c r="E111">
        <v>75.3</v>
      </c>
      <c r="F111">
        <v>125525.1</v>
      </c>
    </row>
    <row r="112" spans="1:6" x14ac:dyDescent="0.25">
      <c r="A112" s="11" t="s">
        <v>14</v>
      </c>
      <c r="B112" s="11" t="s">
        <v>1010</v>
      </c>
      <c r="C112" s="11" t="s">
        <v>182</v>
      </c>
      <c r="D112">
        <v>1632</v>
      </c>
      <c r="E112">
        <v>82.03</v>
      </c>
      <c r="F112">
        <v>133872.95999999999</v>
      </c>
    </row>
    <row r="113" spans="1:6" x14ac:dyDescent="0.25">
      <c r="A113" s="11" t="s">
        <v>14</v>
      </c>
      <c r="B113" s="11" t="s">
        <v>1011</v>
      </c>
      <c r="C113" s="11" t="s">
        <v>965</v>
      </c>
      <c r="D113">
        <v>493</v>
      </c>
      <c r="E113">
        <v>82.03</v>
      </c>
      <c r="F113">
        <v>40440.79</v>
      </c>
    </row>
    <row r="114" spans="1:6" x14ac:dyDescent="0.25">
      <c r="A114" s="11" t="s">
        <v>14</v>
      </c>
      <c r="B114" s="11" t="s">
        <v>983</v>
      </c>
      <c r="C114" s="11" t="s">
        <v>984</v>
      </c>
      <c r="D114">
        <v>971</v>
      </c>
      <c r="E114">
        <v>91.26</v>
      </c>
      <c r="F114">
        <v>88613.46</v>
      </c>
    </row>
    <row r="115" spans="1:6" x14ac:dyDescent="0.25">
      <c r="A115" s="11" t="s">
        <v>14</v>
      </c>
      <c r="B115" s="11" t="s">
        <v>988</v>
      </c>
      <c r="C115" s="11" t="s">
        <v>987</v>
      </c>
      <c r="D115">
        <v>2161</v>
      </c>
      <c r="E115">
        <v>80.64</v>
      </c>
      <c r="F115">
        <v>174263.04000000001</v>
      </c>
    </row>
    <row r="116" spans="1:6" x14ac:dyDescent="0.25">
      <c r="A116" s="11" t="s">
        <v>14</v>
      </c>
      <c r="B116" s="11" t="s">
        <v>989</v>
      </c>
      <c r="C116" s="11" t="s">
        <v>39</v>
      </c>
      <c r="D116">
        <v>293</v>
      </c>
      <c r="E116">
        <v>80.64</v>
      </c>
      <c r="F116">
        <v>23627.52</v>
      </c>
    </row>
    <row r="117" spans="1:6" x14ac:dyDescent="0.25">
      <c r="A117" s="11" t="s">
        <v>14</v>
      </c>
      <c r="B117" s="11" t="s">
        <v>990</v>
      </c>
      <c r="C117" s="11" t="s">
        <v>273</v>
      </c>
      <c r="D117">
        <v>1249</v>
      </c>
      <c r="E117">
        <v>80.64</v>
      </c>
      <c r="F117">
        <v>100719.36</v>
      </c>
    </row>
    <row r="118" spans="1:6" x14ac:dyDescent="0.25">
      <c r="A118" s="11" t="s">
        <v>14</v>
      </c>
      <c r="B118" s="11" t="s">
        <v>992</v>
      </c>
      <c r="C118" s="11" t="s">
        <v>78</v>
      </c>
      <c r="D118">
        <v>1133</v>
      </c>
      <c r="E118">
        <v>91.26</v>
      </c>
      <c r="F118">
        <v>103397.58</v>
      </c>
    </row>
    <row r="119" spans="1:6" x14ac:dyDescent="0.25">
      <c r="A119" s="11" t="s">
        <v>14</v>
      </c>
      <c r="B119" s="11" t="s">
        <v>993</v>
      </c>
      <c r="C119" s="11" t="s">
        <v>78</v>
      </c>
      <c r="D119">
        <v>590</v>
      </c>
      <c r="E119">
        <v>80.64</v>
      </c>
      <c r="F119">
        <v>47577.599999999999</v>
      </c>
    </row>
    <row r="120" spans="1:6" x14ac:dyDescent="0.25">
      <c r="A120" s="11" t="s">
        <v>284</v>
      </c>
      <c r="B120">
        <v>10793</v>
      </c>
      <c r="C120">
        <v>81.860336329102196</v>
      </c>
      <c r="D120">
        <v>883518.61</v>
      </c>
    </row>
    <row r="121" spans="1:6" x14ac:dyDescent="0.25">
      <c r="A121" s="11" t="s">
        <v>793</v>
      </c>
    </row>
    <row r="122" spans="1:6" x14ac:dyDescent="0.25">
      <c r="A122" s="11" t="s">
        <v>14</v>
      </c>
      <c r="B122" s="11" t="s">
        <v>1012</v>
      </c>
      <c r="C122" s="11" t="s">
        <v>1013</v>
      </c>
      <c r="D122">
        <v>8</v>
      </c>
      <c r="E122">
        <v>7081</v>
      </c>
      <c r="F122">
        <v>56648</v>
      </c>
    </row>
    <row r="123" spans="1:6" x14ac:dyDescent="0.25">
      <c r="A123" s="11" t="s">
        <v>14</v>
      </c>
      <c r="B123" s="11" t="s">
        <v>1014</v>
      </c>
      <c r="C123" s="11" t="s">
        <v>1015</v>
      </c>
      <c r="D123">
        <v>3</v>
      </c>
      <c r="E123">
        <v>7081</v>
      </c>
      <c r="F123">
        <v>21243</v>
      </c>
    </row>
    <row r="124" spans="1:6" x14ac:dyDescent="0.25">
      <c r="A124" s="11" t="s">
        <v>14</v>
      </c>
      <c r="B124" s="11" t="s">
        <v>1016</v>
      </c>
      <c r="C124" s="11" t="s">
        <v>201</v>
      </c>
      <c r="D124">
        <v>5</v>
      </c>
      <c r="E124">
        <v>7725</v>
      </c>
      <c r="F124">
        <v>38625</v>
      </c>
    </row>
    <row r="125" spans="1:6" x14ac:dyDescent="0.25">
      <c r="A125" s="11" t="s">
        <v>14</v>
      </c>
      <c r="B125" s="11" t="s">
        <v>1017</v>
      </c>
      <c r="C125" s="11" t="s">
        <v>201</v>
      </c>
      <c r="D125">
        <v>8</v>
      </c>
      <c r="E125">
        <v>7081</v>
      </c>
      <c r="F125">
        <v>56648</v>
      </c>
    </row>
    <row r="126" spans="1:6" x14ac:dyDescent="0.25">
      <c r="A126" s="11" t="s">
        <v>14</v>
      </c>
      <c r="B126" s="11" t="s">
        <v>1018</v>
      </c>
      <c r="C126" s="11" t="s">
        <v>201</v>
      </c>
      <c r="D126">
        <v>4</v>
      </c>
      <c r="E126">
        <v>6759</v>
      </c>
      <c r="F126">
        <v>27036</v>
      </c>
    </row>
    <row r="127" spans="1:6" x14ac:dyDescent="0.25">
      <c r="A127" s="11" t="s">
        <v>14</v>
      </c>
      <c r="B127" s="11" t="s">
        <v>1019</v>
      </c>
      <c r="C127" s="11" t="s">
        <v>245</v>
      </c>
      <c r="D127">
        <v>1</v>
      </c>
      <c r="E127">
        <v>6759</v>
      </c>
      <c r="F127">
        <v>6759</v>
      </c>
    </row>
    <row r="128" spans="1:6" x14ac:dyDescent="0.25">
      <c r="A128" s="11" t="s">
        <v>14</v>
      </c>
      <c r="B128" s="11" t="s">
        <v>1020</v>
      </c>
      <c r="C128" s="11" t="s">
        <v>47</v>
      </c>
      <c r="D128">
        <v>7</v>
      </c>
      <c r="E128">
        <v>8207</v>
      </c>
      <c r="F128">
        <v>57449</v>
      </c>
    </row>
    <row r="129" spans="1:6" x14ac:dyDescent="0.25">
      <c r="A129" s="11" t="s">
        <v>14</v>
      </c>
      <c r="B129" s="11" t="s">
        <v>1021</v>
      </c>
      <c r="C129" s="11" t="s">
        <v>206</v>
      </c>
      <c r="D129">
        <v>7</v>
      </c>
      <c r="E129">
        <v>8207</v>
      </c>
      <c r="F129">
        <v>57449</v>
      </c>
    </row>
    <row r="130" spans="1:6" x14ac:dyDescent="0.25">
      <c r="A130" s="11" t="s">
        <v>14</v>
      </c>
      <c r="B130" s="11" t="s">
        <v>1022</v>
      </c>
      <c r="C130" s="11" t="s">
        <v>141</v>
      </c>
      <c r="D130">
        <v>3</v>
      </c>
      <c r="E130">
        <v>8690</v>
      </c>
      <c r="F130">
        <v>26070</v>
      </c>
    </row>
    <row r="131" spans="1:6" x14ac:dyDescent="0.25">
      <c r="A131" s="11" t="s">
        <v>14</v>
      </c>
      <c r="B131" s="11" t="s">
        <v>1022</v>
      </c>
      <c r="C131" s="11" t="s">
        <v>141</v>
      </c>
      <c r="D131">
        <v>1</v>
      </c>
      <c r="E131">
        <v>8690</v>
      </c>
      <c r="F131">
        <v>8690</v>
      </c>
    </row>
    <row r="132" spans="1:6" x14ac:dyDescent="0.25">
      <c r="A132" s="11" t="s">
        <v>14</v>
      </c>
      <c r="B132" s="11" t="s">
        <v>1023</v>
      </c>
      <c r="C132" s="11" t="s">
        <v>1024</v>
      </c>
      <c r="D132">
        <v>2</v>
      </c>
      <c r="E132">
        <v>8690</v>
      </c>
      <c r="F132">
        <v>17380</v>
      </c>
    </row>
    <row r="133" spans="1:6" x14ac:dyDescent="0.25">
      <c r="A133" s="11" t="s">
        <v>14</v>
      </c>
      <c r="B133" s="11" t="s">
        <v>1025</v>
      </c>
      <c r="C133" s="11" t="s">
        <v>1026</v>
      </c>
      <c r="D133">
        <v>1</v>
      </c>
      <c r="E133">
        <v>8690</v>
      </c>
      <c r="F133">
        <v>8690</v>
      </c>
    </row>
    <row r="134" spans="1:6" x14ac:dyDescent="0.25">
      <c r="A134" s="11" t="s">
        <v>797</v>
      </c>
      <c r="B134">
        <v>50</v>
      </c>
      <c r="C134">
        <v>7653.74</v>
      </c>
      <c r="D134">
        <v>382687</v>
      </c>
    </row>
    <row r="135" spans="1:6" x14ac:dyDescent="0.25">
      <c r="A135" s="11" t="s">
        <v>798</v>
      </c>
    </row>
    <row r="136" spans="1:6" x14ac:dyDescent="0.25">
      <c r="A136" s="11" t="s">
        <v>14</v>
      </c>
      <c r="B136" s="11" t="s">
        <v>1027</v>
      </c>
      <c r="C136" s="11" t="s">
        <v>206</v>
      </c>
      <c r="D136">
        <v>1954</v>
      </c>
      <c r="E136">
        <v>76.48</v>
      </c>
      <c r="F136">
        <v>149441.92000000001</v>
      </c>
    </row>
    <row r="137" spans="1:6" x14ac:dyDescent="0.25">
      <c r="A137" s="11" t="s">
        <v>14</v>
      </c>
      <c r="B137" s="11" t="s">
        <v>991</v>
      </c>
      <c r="C137" s="11" t="s">
        <v>273</v>
      </c>
      <c r="D137">
        <v>2120</v>
      </c>
      <c r="E137">
        <v>80.400000000000006</v>
      </c>
      <c r="F137">
        <v>170448</v>
      </c>
    </row>
    <row r="138" spans="1:6" x14ac:dyDescent="0.25">
      <c r="A138" s="11" t="s">
        <v>799</v>
      </c>
      <c r="B138">
        <v>4074</v>
      </c>
      <c r="C138">
        <v>78.519862542955295</v>
      </c>
      <c r="D138">
        <v>319889.91999999998</v>
      </c>
    </row>
    <row r="139" spans="1:6" x14ac:dyDescent="0.25">
      <c r="A139" s="11" t="s">
        <v>800</v>
      </c>
    </row>
    <row r="140" spans="1:6" x14ac:dyDescent="0.25">
      <c r="A140" s="11" t="s">
        <v>14</v>
      </c>
      <c r="B140" s="11" t="s">
        <v>1028</v>
      </c>
      <c r="C140" s="11" t="s">
        <v>300</v>
      </c>
      <c r="D140">
        <v>663</v>
      </c>
      <c r="E140">
        <v>92.07</v>
      </c>
      <c r="F140">
        <v>61042.41</v>
      </c>
    </row>
    <row r="141" spans="1:6" x14ac:dyDescent="0.25">
      <c r="A141" s="11" t="s">
        <v>801</v>
      </c>
      <c r="B141">
        <v>663</v>
      </c>
      <c r="C141">
        <v>92.07</v>
      </c>
      <c r="D141">
        <v>61042.41</v>
      </c>
    </row>
    <row r="142" spans="1:6" x14ac:dyDescent="0.25">
      <c r="A142" s="11" t="s">
        <v>318</v>
      </c>
    </row>
    <row r="143" spans="1:6" x14ac:dyDescent="0.25">
      <c r="A143" s="11" t="s">
        <v>14</v>
      </c>
      <c r="B143" s="11" t="s">
        <v>1029</v>
      </c>
      <c r="C143" s="11" t="s">
        <v>1030</v>
      </c>
      <c r="D143">
        <v>591</v>
      </c>
      <c r="E143">
        <v>98.46</v>
      </c>
      <c r="F143">
        <v>58189.86</v>
      </c>
    </row>
    <row r="144" spans="1:6" x14ac:dyDescent="0.25">
      <c r="A144" s="11" t="s">
        <v>14</v>
      </c>
      <c r="B144" s="11" t="s">
        <v>1031</v>
      </c>
      <c r="C144" s="11" t="s">
        <v>99</v>
      </c>
      <c r="D144">
        <v>201</v>
      </c>
      <c r="E144">
        <v>98.46</v>
      </c>
      <c r="F144">
        <v>19790.46</v>
      </c>
    </row>
    <row r="145" spans="1:6" x14ac:dyDescent="0.25">
      <c r="A145" s="11" t="s">
        <v>14</v>
      </c>
      <c r="B145" s="11" t="s">
        <v>1032</v>
      </c>
      <c r="C145" s="11" t="s">
        <v>145</v>
      </c>
      <c r="D145">
        <v>306</v>
      </c>
      <c r="E145">
        <v>98.46</v>
      </c>
      <c r="F145">
        <v>30128.76</v>
      </c>
    </row>
    <row r="146" spans="1:6" x14ac:dyDescent="0.25">
      <c r="A146" s="11" t="s">
        <v>323</v>
      </c>
      <c r="B146">
        <v>1098</v>
      </c>
      <c r="C146">
        <v>98.46</v>
      </c>
      <c r="D146">
        <v>108109.08</v>
      </c>
    </row>
    <row r="147" spans="1:6" x14ac:dyDescent="0.25">
      <c r="A147" s="11" t="s">
        <v>1033</v>
      </c>
    </row>
    <row r="148" spans="1:6" x14ac:dyDescent="0.25">
      <c r="A148" s="11" t="s">
        <v>14</v>
      </c>
      <c r="B148" s="11" t="s">
        <v>1029</v>
      </c>
      <c r="C148" s="11" t="s">
        <v>1030</v>
      </c>
      <c r="D148">
        <v>299</v>
      </c>
      <c r="E148">
        <v>98.46</v>
      </c>
      <c r="F148">
        <v>29439.54</v>
      </c>
    </row>
    <row r="149" spans="1:6" x14ac:dyDescent="0.25">
      <c r="A149" s="11" t="s">
        <v>14</v>
      </c>
      <c r="B149" s="11" t="s">
        <v>1031</v>
      </c>
      <c r="C149" s="11" t="s">
        <v>99</v>
      </c>
      <c r="D149">
        <v>539</v>
      </c>
      <c r="E149">
        <v>98.46</v>
      </c>
      <c r="F149">
        <v>53069.94</v>
      </c>
    </row>
    <row r="150" spans="1:6" x14ac:dyDescent="0.25">
      <c r="A150" s="11" t="s">
        <v>14</v>
      </c>
      <c r="B150" s="11" t="s">
        <v>1032</v>
      </c>
      <c r="C150" s="11" t="s">
        <v>145</v>
      </c>
      <c r="D150">
        <v>297</v>
      </c>
      <c r="E150">
        <v>98.46</v>
      </c>
      <c r="F150">
        <v>29242.62</v>
      </c>
    </row>
    <row r="151" spans="1:6" x14ac:dyDescent="0.25">
      <c r="A151" s="11" t="s">
        <v>1034</v>
      </c>
      <c r="B151">
        <v>1135</v>
      </c>
      <c r="C151">
        <v>98.46</v>
      </c>
      <c r="D151">
        <v>111752.1</v>
      </c>
    </row>
    <row r="152" spans="1:6" x14ac:dyDescent="0.25">
      <c r="A152" s="11" t="s">
        <v>814</v>
      </c>
    </row>
    <row r="153" spans="1:6" x14ac:dyDescent="0.25">
      <c r="A153" s="11" t="s">
        <v>14</v>
      </c>
      <c r="B153" s="11" t="s">
        <v>1035</v>
      </c>
      <c r="C153" s="11" t="s">
        <v>1036</v>
      </c>
      <c r="D153">
        <v>511</v>
      </c>
      <c r="E153">
        <v>97.25</v>
      </c>
      <c r="F153">
        <v>49694.75</v>
      </c>
    </row>
    <row r="154" spans="1:6" x14ac:dyDescent="0.25">
      <c r="A154" s="11" t="s">
        <v>14</v>
      </c>
      <c r="B154" s="11" t="s">
        <v>1037</v>
      </c>
      <c r="C154" s="11" t="s">
        <v>141</v>
      </c>
      <c r="D154">
        <v>460</v>
      </c>
      <c r="E154">
        <v>97.25</v>
      </c>
      <c r="F154">
        <v>44735</v>
      </c>
    </row>
    <row r="155" spans="1:6" x14ac:dyDescent="0.25">
      <c r="A155" s="11" t="s">
        <v>815</v>
      </c>
      <c r="B155">
        <v>971</v>
      </c>
      <c r="C155">
        <v>97.25</v>
      </c>
      <c r="D155">
        <v>94429.75</v>
      </c>
    </row>
    <row r="156" spans="1:6" x14ac:dyDescent="0.25">
      <c r="A156" s="11" t="s">
        <v>816</v>
      </c>
      <c r="B156">
        <v>6240821.8799999999</v>
      </c>
    </row>
    <row r="157" spans="1:6" x14ac:dyDescent="0.25">
      <c r="A157" s="11" t="s">
        <v>338</v>
      </c>
      <c r="B157" s="11" t="s">
        <v>14</v>
      </c>
      <c r="C157" s="11" t="s">
        <v>14</v>
      </c>
      <c r="D157">
        <v>6240821.8799999999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Liqui Box - Usage 2024</vt:lpstr>
      <vt:lpstr>Liqui Box - Usage 2023</vt:lpstr>
      <vt:lpstr>Liqui Box - Usage 2022</vt:lpstr>
      <vt:lpstr>MTech - Usage 2024</vt:lpstr>
      <vt:lpstr>MTech - Usage 2023</vt:lpstr>
      <vt:lpstr>MTech - Usage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Schlachter</dc:creator>
  <cp:lastModifiedBy>Mike Schlachter</cp:lastModifiedBy>
  <cp:lastPrinted>2024-06-21T09:06:16Z</cp:lastPrinted>
  <dcterms:created xsi:type="dcterms:W3CDTF">2024-06-21T08:07:42Z</dcterms:created>
  <dcterms:modified xsi:type="dcterms:W3CDTF">2024-06-21T13:18:14Z</dcterms:modified>
</cp:coreProperties>
</file>